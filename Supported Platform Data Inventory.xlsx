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tform Summary" sheetId="1" r:id="rId5"/>
    <sheet state="visible" name="Inventory" sheetId="2" r:id="rId6"/>
  </sheets>
  <definedNames/>
  <calcPr/>
</workbook>
</file>

<file path=xl/sharedStrings.xml><?xml version="1.0" encoding="utf-8"?>
<sst xmlns="http://schemas.openxmlformats.org/spreadsheetml/2006/main" count="70" uniqueCount="52">
  <si>
    <t>Supported Platform Data Inventory</t>
  </si>
  <si>
    <t>Current-state collection status across Citrix, AWS WorkSpaces, Island, IGEL, and Chrome</t>
  </si>
  <si>
    <t>Platforms</t>
  </si>
  <si>
    <t>Complete</t>
  </si>
  <si>
    <t>In Progress</t>
  </si>
  <si>
    <t>Not Started / Blocked</t>
  </si>
  <si>
    <t>Platform</t>
  </si>
  <si>
    <t>Owner / Contact</t>
  </si>
  <si>
    <t>Status</t>
  </si>
  <si>
    <t>Progress</t>
  </si>
  <si>
    <t>Data Location</t>
  </si>
  <si>
    <t>Access</t>
  </si>
  <si>
    <t>Key Gap</t>
  </si>
  <si>
    <t>Next Action</t>
  </si>
  <si>
    <t>Citrix</t>
  </si>
  <si>
    <t>Peter</t>
  </si>
  <si>
    <t>Supported Platform Data Inventory – Collection Detail</t>
  </si>
  <si>
    <t>Enter one current-state record per platform. Add rows when a platform has multiple data sources or accountable teams.</t>
  </si>
  <si>
    <t>Primary Owner / Contact</t>
  </si>
  <si>
    <t>Supporting Team</t>
  </si>
  <si>
    <t>Collection Status</t>
  </si>
  <si>
    <t>AWS WorkSpaces</t>
  </si>
  <si>
    <t>Shea</t>
  </si>
  <si>
    <t>Priority</t>
  </si>
  <si>
    <t>Last Updated</t>
  </si>
  <si>
    <t>Current-State Metrics</t>
  </si>
  <si>
    <t>Metric Definitions / Units</t>
  </si>
  <si>
    <t>Current Data Source / System</t>
  </si>
  <si>
    <t>Source Link / Query</t>
  </si>
  <si>
    <t>Snowflake Database / Schema / Table</t>
  </si>
  <si>
    <t>Retention Period / Policy</t>
  </si>
  <si>
    <t>Entitlement / Role Needed</t>
  </si>
  <si>
    <t>Who Needs Access?</t>
  </si>
  <si>
    <t>Login / Authentication Issues</t>
  </si>
  <si>
    <t>Dashboard / Report</t>
  </si>
  <si>
    <t>Data Type (IAM / CSOC / Other)</t>
  </si>
  <si>
    <t>Island</t>
  </si>
  <si>
    <t>Will (Chad's team)</t>
  </si>
  <si>
    <t>Data Gaps / Quality Issues</t>
  </si>
  <si>
    <t>Target Date</t>
  </si>
  <si>
    <t>Ingestion Method / Quick Path</t>
  </si>
  <si>
    <t>Data Filters</t>
  </si>
  <si>
    <t>Capture Cadence</t>
  </si>
  <si>
    <t>Transformation Needed</t>
  </si>
  <si>
    <t>IGEL</t>
  </si>
  <si>
    <t>Mark</t>
  </si>
  <si>
    <t>Not Started</t>
  </si>
  <si>
    <t>Medium</t>
  </si>
  <si>
    <t>Chrome</t>
  </si>
  <si>
    <t>Use the Inventory tab to update source details, access requirements, collection cadence, data gaps, and next actions.</t>
  </si>
  <si>
    <t>Will</t>
  </si>
  <si>
    <t>Chad's team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</si>
</sst>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"/>
  </numFmts>
  <fonts count="10">
    <font>
      <sz val="11.0"/>
      <color rgb="FF000000"/>
      <name val="Carlito"/>
      <scheme val="minor"/>
    </font>
    <font>
      <sz val="11.0"/>
      <color theme="1"/>
      <name val="Carlito"/>
    </font>
    <font>
      <b/>
      <sz val="15.0"/>
      <color rgb="FF1F1F1F"/>
      <name val="Arial"/>
    </font>
    <font>
      <i/>
      <sz val="10.0"/>
      <color rgb="FF595959"/>
      <name val="Arial"/>
    </font>
    <font>
      <b/>
      <sz val="11.0"/>
      <color theme="1"/>
      <name val="Arial"/>
    </font>
    <font>
      <b/>
      <sz val="12.0"/>
      <color theme="1"/>
      <name val="Arial"/>
    </font>
    <font>
      <b/>
      <sz val="10.0"/>
      <color rgb="FFFFFFFF"/>
      <name val="Arial"/>
    </font>
    <font>
      <sz val="10.0"/>
      <color theme="1"/>
      <name val="Arial"/>
    </font>
    <font>
      <b/>
      <sz val="15.0"/>
      <color theme="1"/>
      <name val="Arial"/>
    </font>
    <font>
      <i/>
      <sz val="11.0"/>
      <color rgb="FF1F1F1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D9EAF7"/>
        <bgColor rgb="FFD9EAF7"/>
      </patternFill>
    </fill>
  </fills>
  <borders count="14">
    <border/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Font="1"/>
    <xf borderId="1" fillId="2" fontId="4" numFmtId="0" xfId="0" applyBorder="1" applyFill="1" applyFont="1"/>
    <xf borderId="1" fillId="3" fontId="5" numFmtId="0" xfId="0" applyAlignment="1" applyBorder="1" applyFill="1" applyFont="1">
      <alignment horizontal="center"/>
    </xf>
    <xf borderId="2" fillId="2" fontId="4" numFmtId="0" xfId="0" applyBorder="1" applyFill="1" applyFont="1"/>
    <xf borderId="2" fillId="3" fontId="5" numFmtId="0" xfId="0" applyAlignment="1" applyBorder="1" applyFill="1" applyFont="1">
      <alignment horizontal="center"/>
    </xf>
    <xf borderId="3" fillId="2" fontId="4" numFmtId="0" xfId="0" applyBorder="1" applyFill="1" applyFont="1"/>
    <xf borderId="3" fillId="3" fontId="5" numFmtId="0" xfId="0" applyAlignment="1" applyBorder="1" applyFill="1" applyFont="1">
      <alignment horizontal="center"/>
    </xf>
    <xf borderId="4" fillId="4" fontId="6" numFmtId="0" xfId="0" applyAlignment="1" applyBorder="1" applyFill="1" applyFont="1">
      <alignment horizontal="center" shrinkToFit="0" vertical="center" wrapText="1"/>
    </xf>
    <xf borderId="5" fillId="0" fontId="7" numFmtId="0" xfId="0" applyBorder="1" applyFont="1"/>
    <xf borderId="6" fillId="0" fontId="7" numFmtId="0" xfId="0" applyBorder="1" applyFont="1"/>
    <xf borderId="0" fillId="0" fontId="8" numFmtId="0" xfId="0" applyFont="1"/>
    <xf borderId="6" fillId="0" fontId="7" numFmtId="9" xfId="0" applyBorder="1" applyFont="1" applyNumberFormat="1"/>
    <xf borderId="4" fillId="4" fontId="6" numFmtId="0" xfId="0" applyAlignment="1" applyBorder="1" applyFill="1" applyFont="1">
      <alignment horizontal="center" readingOrder="0" shrinkToFit="0" vertical="center" wrapText="1"/>
    </xf>
    <xf borderId="7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9" fillId="0" fontId="7" numFmtId="9" xfId="0" applyBorder="1" applyFont="1" applyNumberFormat="1"/>
    <xf borderId="10" fillId="0" fontId="7" numFmtId="0" xfId="0" applyBorder="1" applyFont="1"/>
    <xf borderId="5" fillId="5" fontId="7" numFmtId="0" xfId="0" applyAlignment="1" applyBorder="1" applyFill="1" applyFont="1">
      <alignment shrinkToFit="0" vertical="top" wrapText="1"/>
    </xf>
    <xf borderId="6" fillId="5" fontId="7" numFmtId="0" xfId="0" applyAlignment="1" applyBorder="1" applyFill="1" applyFont="1">
      <alignment shrinkToFit="0" vertical="top" wrapText="1"/>
    </xf>
    <xf borderId="6" fillId="5" fontId="7" numFmtId="49" xfId="0" applyAlignment="1" applyBorder="1" applyFill="1" applyFont="1" applyNumberFormat="1">
      <alignment shrinkToFit="0" vertical="top" wrapText="1"/>
    </xf>
    <xf borderId="6" fillId="5" fontId="7" numFmtId="0" xfId="0" applyAlignment="1" applyBorder="1" applyFill="1" applyFont="1">
      <alignment shrinkToFit="0" vertical="top" wrapText="1"/>
    </xf>
    <xf borderId="6" fillId="5" fontId="7" numFmtId="164" xfId="0" applyAlignment="1" applyBorder="1" applyFill="1" applyFont="1" applyNumberFormat="1">
      <alignment shrinkToFit="0" vertical="top" wrapText="1"/>
    </xf>
    <xf borderId="11" fillId="0" fontId="7" numFmtId="0" xfId="0" applyBorder="1" applyFont="1"/>
    <xf borderId="6" fillId="0" fontId="7" numFmtId="49" xfId="0" applyAlignment="1" applyBorder="1" applyFont="1" applyNumberFormat="1">
      <alignment shrinkToFit="0" vertical="top" wrapText="1"/>
    </xf>
    <xf borderId="12" fillId="0" fontId="7" numFmtId="0" xfId="0" applyBorder="1" applyFont="1"/>
    <xf borderId="12" fillId="0" fontId="7" numFmtId="9" xfId="0" applyBorder="1" applyFont="1" applyNumberFormat="1"/>
    <xf borderId="6" fillId="0" fontId="7" numFmtId="0" xfId="0" applyAlignment="1" applyBorder="1" applyFont="1">
      <alignment shrinkToFit="0" vertical="top" wrapText="1"/>
    </xf>
    <xf borderId="13" fillId="0" fontId="7" numFmtId="0" xfId="0" applyBorder="1" applyFont="1"/>
    <xf borderId="0" fillId="6" fontId="9" numFmtId="0" xfId="0" applyAlignment="1" applyFill="1" applyFont="1">
      <alignment shrinkToFit="0" wrapText="1"/>
    </xf>
    <xf borderId="7" fillId="0" fontId="7" numFmtId="49" xfId="0" applyAlignment="1" applyBorder="1" applyFont="1" applyNumberFormat="1">
      <alignment shrinkToFit="0" vertical="top" wrapText="1"/>
    </xf>
    <xf borderId="8" fillId="5" fontId="7" numFmtId="0" xfId="0" applyAlignment="1" applyBorder="1" applyFill="1" applyFont="1">
      <alignment shrinkToFit="0" vertical="top" wrapText="1"/>
    </xf>
    <xf borderId="9" fillId="5" fontId="7" numFmtId="0" xfId="0" applyAlignment="1" applyBorder="1" applyFill="1" applyFont="1">
      <alignment shrinkToFit="0" vertical="top" wrapText="1"/>
    </xf>
    <xf borderId="9" fillId="5" fontId="7" numFmtId="49" xfId="0" applyAlignment="1" applyBorder="1" applyFill="1" applyFont="1" applyNumberFormat="1">
      <alignment shrinkToFit="0" vertical="top" wrapText="1"/>
    </xf>
    <xf borderId="9" fillId="5" fontId="7" numFmtId="0" xfId="0" applyAlignment="1" applyBorder="1" applyFill="1" applyFont="1">
      <alignment shrinkToFit="0" vertical="top" wrapText="1"/>
    </xf>
    <xf borderId="9" fillId="5" fontId="7" numFmtId="164" xfId="0" applyAlignment="1" applyBorder="1" applyFill="1" applyFont="1" applyNumberFormat="1">
      <alignment shrinkToFit="0" vertical="top" wrapText="1"/>
    </xf>
    <xf borderId="9" fillId="0" fontId="7" numFmtId="49" xfId="0" applyAlignment="1" applyBorder="1" applyFont="1" applyNumberFormat="1">
      <alignment shrinkToFit="0" vertical="top" wrapText="1"/>
    </xf>
    <xf borderId="9" fillId="0" fontId="7" numFmtId="0" xfId="0" applyAlignment="1" applyBorder="1" applyFont="1">
      <alignment shrinkToFit="0" vertical="top" wrapText="1"/>
    </xf>
    <xf borderId="10" fillId="0" fontId="7" numFmtId="49" xfId="0" applyAlignment="1" applyBorder="1" applyFont="1" applyNumberFormat="1">
      <alignment shrinkToFit="0" vertical="top" wrapText="1"/>
    </xf>
    <xf borderId="11" fillId="5" fontId="7" numFmtId="0" xfId="0" applyAlignment="1" applyBorder="1" applyFill="1" applyFont="1">
      <alignment shrinkToFit="0" vertical="top" wrapText="1"/>
    </xf>
    <xf borderId="12" fillId="5" fontId="7" numFmtId="49" xfId="0" applyAlignment="1" applyBorder="1" applyFill="1" applyFont="1" applyNumberFormat="1">
      <alignment shrinkToFit="0" vertical="top" wrapText="1"/>
    </xf>
    <xf borderId="12" fillId="5" fontId="7" numFmtId="0" xfId="0" applyAlignment="1" applyBorder="1" applyFill="1" applyFont="1">
      <alignment shrinkToFit="0" vertical="top" wrapText="1"/>
    </xf>
    <xf borderId="12" fillId="5" fontId="7" numFmtId="164" xfId="0" applyAlignment="1" applyBorder="1" applyFill="1" applyFont="1" applyNumberFormat="1">
      <alignment shrinkToFit="0" vertical="top" wrapText="1"/>
    </xf>
    <xf borderId="12" fillId="0" fontId="7" numFmtId="49" xfId="0" applyAlignment="1" applyBorder="1" applyFont="1" applyNumberFormat="1">
      <alignment shrinkToFit="0" vertical="top" wrapText="1"/>
    </xf>
    <xf borderId="12" fillId="0" fontId="7" numFmtId="0" xfId="0" applyAlignment="1" applyBorder="1" applyFont="1">
      <alignment shrinkToFit="0" vertical="top" wrapText="1"/>
    </xf>
    <xf borderId="13" fillId="0" fontId="7" numFmtId="49" xfId="0" applyAlignment="1" applyBorder="1" applyFont="1" applyNumberFormat="1">
      <alignment shrinkToFit="0" vertical="top" wrapText="1"/>
    </xf>
    <xf borderId="0" fillId="0" fontId="1" numFmtId="0" xfId="0" applyAlignment="1" applyFont="1">
      <alignment shrinkToFit="0" wrapText="1"/>
    </xf>
    <xf borderId="0" fillId="0" fontId="1" numFmtId="165" xfId="0" applyAlignment="1" applyFont="1" applyNumberFormat="1">
      <alignment shrinkToFit="0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b/>
        <color rgb="FF375623"/>
      </font>
      <fill>
        <patternFill patternType="solid">
          <fgColor rgb="FFE2F0D9"/>
          <bgColor rgb="FFE2F0D9"/>
        </patternFill>
      </fill>
      <border/>
    </dxf>
    <dxf>
      <font>
        <b/>
        <color rgb="FF7F6000"/>
      </font>
      <fill>
        <patternFill patternType="solid">
          <fgColor rgb="FFFFF2CC"/>
          <bgColor rgb="FFFFF2CC"/>
        </patternFill>
      </fill>
      <border/>
    </dxf>
    <dxf>
      <font>
        <b/>
        <color rgb="FF9C0006"/>
      </font>
      <fill>
        <patternFill patternType="solid">
          <fgColor rgb="FFF4CCCC"/>
          <bgColor rgb="FFF4CCCC"/>
        </patternFill>
      </fill>
      <border/>
    </dxf>
  </dxfs>
  <tableStyles count="1">
    <tableStyle count="4" pivot="0" name="Inventor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X10" displayName="PlatformInventoryTable" name="PlatformInventoryTable" id="1">
  <tableColumns count="24">
    <tableColumn name="Platform" id="1"/>
    <tableColumn name="Primary Owner / Contact" id="2"/>
    <tableColumn name="Supporting Team" id="3"/>
    <tableColumn name="Collection Status" id="4"/>
    <tableColumn name="Priority" id="5"/>
    <tableColumn name="Last Updated" id="6"/>
    <tableColumn name="Current-State Metrics" id="7"/>
    <tableColumn name="Metric Definitions / Units" id="8"/>
    <tableColumn name="Current Data Source / System" id="9"/>
    <tableColumn name="Source Link / Query" id="10"/>
    <tableColumn name="Snowflake Database / Schema / Table" id="11"/>
    <tableColumn name="Retention Period / Policy" id="12"/>
    <tableColumn name="Entitlement / Role Needed" id="13"/>
    <tableColumn name="Who Needs Access?" id="14"/>
    <tableColumn name="Login / Authentication Issues" id="15"/>
    <tableColumn name="Dashboard / Report" id="16"/>
    <tableColumn name="Data Type (IAM / CSOC / Other)" id="17"/>
    <tableColumn name="Data Gaps / Quality Issues" id="18"/>
    <tableColumn name="Next Action" id="19"/>
    <tableColumn name="Target Date" id="20"/>
    <tableColumn name="Ingestion Method / Quick Path" id="21"/>
    <tableColumn name="Data Filters" id="22"/>
    <tableColumn name="Capture Cadence" id="23"/>
    <tableColumn name="Transformation Needed" id="24"/>
  </tableColumns>
  <tableStyleInfo name="Invento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/>
  <cols>
    <col customWidth="1" min="1" max="1" width="20.0"/>
    <col customWidth="1" min="2" max="2" width="22.0"/>
    <col customWidth="1" min="3" max="3" width="16.0"/>
    <col customWidth="1" min="4" max="4" width="12.0"/>
    <col customWidth="1" min="5" max="6" width="22.0"/>
    <col customWidth="1" min="7" max="8" width="30.0"/>
    <col customWidth="1" min="9" max="26" width="8.63"/>
  </cols>
  <sheetData>
    <row r="1">
      <c r="A1" s="1"/>
      <c r="B1" s="1"/>
      <c r="C1" s="1"/>
      <c r="D1" s="1"/>
      <c r="E1" s="1"/>
      <c r="F1" s="1"/>
      <c r="G1" s="1"/>
      <c r="H1" s="1"/>
    </row>
    <row r="2">
      <c r="A2" s="2" t="s">
        <v>0</v>
      </c>
    </row>
    <row r="3">
      <c r="A3" s="3" t="s">
        <v>1</v>
      </c>
    </row>
    <row r="5">
      <c r="A5" s="4" t="s">
        <v>2</v>
      </c>
      <c r="B5" s="5">
        <f>COUNTA(Inventory!A6:A10)</f>
        <v>5</v>
      </c>
    </row>
    <row r="6">
      <c r="A6" s="6" t="s">
        <v>3</v>
      </c>
      <c r="B6" s="7">
        <f>COUNTIF(Inventory!D6:D10,"Complete")</f>
        <v>0</v>
      </c>
    </row>
    <row r="7">
      <c r="A7" s="6" t="s">
        <v>4</v>
      </c>
      <c r="B7" s="7">
        <f>COUNTIF(Inventory!D6:D10,"In Progress")</f>
        <v>0</v>
      </c>
    </row>
    <row r="8">
      <c r="A8" s="8" t="s">
        <v>5</v>
      </c>
      <c r="B8" s="9">
        <f>COUNTIF(Inventory!D6:D10,"Not Started")+COUNTIF(Inventory!D6:D10,"Blocked")</f>
        <v>5</v>
      </c>
    </row>
    <row r="10">
      <c r="A10" s="10" t="s">
        <v>6</v>
      </c>
      <c r="B10" s="10" t="s">
        <v>7</v>
      </c>
      <c r="C10" s="10" t="s">
        <v>8</v>
      </c>
      <c r="D10" s="10" t="s">
        <v>9</v>
      </c>
      <c r="E10" s="10" t="s">
        <v>10</v>
      </c>
      <c r="F10" s="10" t="s">
        <v>11</v>
      </c>
      <c r="G10" s="10" t="s">
        <v>12</v>
      </c>
      <c r="H10" s="10" t="s">
        <v>13</v>
      </c>
    </row>
    <row r="11">
      <c r="A11" s="11" t="s">
        <v>14</v>
      </c>
      <c r="B11" s="12" t="s">
        <v>15</v>
      </c>
      <c r="C11" s="12" t="str">
        <f>Inventory!D6</f>
        <v>Not Started</v>
      </c>
      <c r="D11" s="14">
        <f>IFERROR((15-COUNTBLANK(Inventory!G6:Q6)-COUNTBLANK(Inventory!U6:X6))/15,0)</f>
        <v>0</v>
      </c>
      <c r="E11" s="12" t="str">
        <f>IF(Inventory!K6="","",Inventory!K6)</f>
        <v/>
      </c>
      <c r="F11" s="12" t="str">
        <f>IF(Inventory!M6="","",Inventory!M6)</f>
        <v/>
      </c>
      <c r="G11" s="12" t="str">
        <f>IF(Inventory!R6="","",Inventory!R6)</f>
        <v/>
      </c>
      <c r="H11" s="16" t="str">
        <f>IF(Inventory!S6="","",Inventory!S6)</f>
        <v/>
      </c>
    </row>
    <row r="12">
      <c r="A12" s="17" t="s">
        <v>21</v>
      </c>
      <c r="B12" s="18" t="s">
        <v>22</v>
      </c>
      <c r="C12" s="18" t="str">
        <f>Inventory!D7</f>
        <v>Not Started</v>
      </c>
      <c r="D12" s="19">
        <f>IFERROR((15-COUNTBLANK(Inventory!G7:Q7)-COUNTBLANK(Inventory!U7:X7))/15,0)</f>
        <v>0</v>
      </c>
      <c r="E12" s="18" t="str">
        <f>IF(Inventory!K7="","",Inventory!K7)</f>
        <v/>
      </c>
      <c r="F12" s="18" t="str">
        <f>IF(Inventory!M7="","",Inventory!M7)</f>
        <v/>
      </c>
      <c r="G12" s="18" t="str">
        <f>IF(Inventory!R7="","",Inventory!R7)</f>
        <v/>
      </c>
      <c r="H12" s="20" t="str">
        <f>IF(Inventory!S7="","",Inventory!S7)</f>
        <v/>
      </c>
    </row>
    <row r="13">
      <c r="A13" s="17" t="s">
        <v>36</v>
      </c>
      <c r="B13" s="18" t="s">
        <v>37</v>
      </c>
      <c r="C13" s="18" t="str">
        <f>Inventory!D8</f>
        <v>Not Started</v>
      </c>
      <c r="D13" s="19">
        <f>IFERROR((15-COUNTBLANK(Inventory!G8:Q8)-COUNTBLANK(Inventory!U8:X8))/15,0)</f>
        <v>0</v>
      </c>
      <c r="E13" s="18" t="str">
        <f>IF(Inventory!K8="","",Inventory!K8)</f>
        <v/>
      </c>
      <c r="F13" s="18" t="str">
        <f>IF(Inventory!M8="","",Inventory!M8)</f>
        <v/>
      </c>
      <c r="G13" s="18" t="str">
        <f>IF(Inventory!R8="","",Inventory!R8)</f>
        <v/>
      </c>
      <c r="H13" s="20" t="str">
        <f>IF(Inventory!S8="","",Inventory!S8)</f>
        <v/>
      </c>
    </row>
    <row r="14">
      <c r="A14" s="17" t="s">
        <v>44</v>
      </c>
      <c r="B14" s="18" t="s">
        <v>45</v>
      </c>
      <c r="C14" s="18" t="str">
        <f>Inventory!D9</f>
        <v>Not Started</v>
      </c>
      <c r="D14" s="19">
        <f>IFERROR((15-COUNTBLANK(Inventory!G9:Q9)-COUNTBLANK(Inventory!U9:X9))/15,0)</f>
        <v>0</v>
      </c>
      <c r="E14" s="18" t="str">
        <f>IF(Inventory!K9="","",Inventory!K9)</f>
        <v/>
      </c>
      <c r="F14" s="18" t="str">
        <f>IF(Inventory!M9="","",Inventory!M9)</f>
        <v/>
      </c>
      <c r="G14" s="18" t="str">
        <f>IF(Inventory!R9="","",Inventory!R9)</f>
        <v/>
      </c>
      <c r="H14" s="20" t="str">
        <f>IF(Inventory!S9="","",Inventory!S9)</f>
        <v/>
      </c>
    </row>
    <row r="15">
      <c r="A15" s="26" t="s">
        <v>48</v>
      </c>
      <c r="B15" s="28"/>
      <c r="C15" s="28" t="str">
        <f>Inventory!D10</f>
        <v>Not Started</v>
      </c>
      <c r="D15" s="29">
        <f>IFERROR((15-COUNTBLANK(Inventory!G10:Q10)-COUNTBLANK(Inventory!U10:X10))/15,0)</f>
        <v>0</v>
      </c>
      <c r="E15" s="28" t="str">
        <f>IF(Inventory!K10="","",Inventory!K10)</f>
        <v/>
      </c>
      <c r="F15" s="28" t="str">
        <f>IF(Inventory!M10="","",Inventory!M10)</f>
        <v/>
      </c>
      <c r="G15" s="28" t="str">
        <f>IF(Inventory!R10="","",Inventory!R10)</f>
        <v/>
      </c>
      <c r="H15" s="31" t="str">
        <f>IF(Inventory!S10="","",Inventory!S10)</f>
        <v/>
      </c>
    </row>
    <row r="17">
      <c r="A17" s="32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H2"/>
    <mergeCell ref="A3:H3"/>
    <mergeCell ref="A17:H17"/>
  </mergeCells>
  <conditionalFormatting sqref="C11:C15">
    <cfRule type="containsText" dxfId="5" priority="1" operator="containsText" text="Complete">
      <formula>NOT(ISERROR(SEARCH(("Complete"),(C11))))</formula>
    </cfRule>
  </conditionalFormatting>
  <conditionalFormatting sqref="C11:C15">
    <cfRule type="containsText" dxfId="6" priority="2" operator="containsText" text="In Progress">
      <formula>NOT(ISERROR(SEARCH(("In Progress"),(C11))))</formula>
    </cfRule>
  </conditionalFormatting>
  <conditionalFormatting sqref="C11:C15">
    <cfRule type="containsText" dxfId="7" priority="3" operator="containsText" text="Blocked">
      <formula>NOT(ISERROR(SEARCH(("Blocked"),(C11))))</formula>
    </cfRule>
  </conditionalFormatting>
  <dataValidations>
    <dataValidation type="list" allowBlank="1" sqref="C11:C15">
      <formula1>"Not Started,In Progress,Complete,Blocked"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/>
  <cols>
    <col customWidth="1" min="1" max="1" width="18.0"/>
    <col customWidth="1" min="2" max="2" width="22.0"/>
    <col customWidth="1" min="3" max="3" width="20.0"/>
    <col customWidth="1" min="4" max="4" width="16.0"/>
    <col customWidth="1" min="5" max="5" width="11.0"/>
    <col customWidth="1" min="6" max="6" width="14.0"/>
    <col customWidth="1" min="7" max="7" width="30.0"/>
    <col customWidth="1" min="8" max="8" width="25.0"/>
    <col customWidth="1" min="9" max="10" width="28.0"/>
    <col customWidth="1" min="11" max="11" width="30.0"/>
    <col customWidth="1" min="12" max="12" width="22.0"/>
    <col customWidth="1" min="13" max="14" width="25.0"/>
    <col customWidth="1" min="15" max="15" width="28.0"/>
    <col customWidth="1" min="16" max="16" width="26.0"/>
    <col customWidth="1" min="17" max="17" width="20.0"/>
    <col customWidth="1" min="18" max="19" width="30.0"/>
    <col customWidth="1" min="20" max="20" width="14.0"/>
    <col customWidth="1" min="21" max="21" width="28.0"/>
    <col customWidth="1" min="22" max="22" width="22.0"/>
    <col customWidth="1" min="23" max="23" width="18.0"/>
    <col customWidth="1" min="24" max="24" width="28.0"/>
    <col customWidth="1" min="25" max="26" width="8.63"/>
  </cols>
  <sheetData>
    <row r="2">
      <c r="A2" s="13" t="s">
        <v>16</v>
      </c>
    </row>
    <row r="3">
      <c r="A3" s="3" t="s">
        <v>17</v>
      </c>
    </row>
    <row r="5" ht="42.0" customHeight="1">
      <c r="A5" s="15" t="s">
        <v>6</v>
      </c>
      <c r="B5" s="15" t="s">
        <v>18</v>
      </c>
      <c r="C5" s="15" t="s">
        <v>19</v>
      </c>
      <c r="D5" s="15" t="s">
        <v>20</v>
      </c>
      <c r="E5" s="15" t="s">
        <v>23</v>
      </c>
      <c r="F5" s="15" t="s">
        <v>24</v>
      </c>
      <c r="G5" s="15" t="s">
        <v>25</v>
      </c>
      <c r="H5" s="15" t="s">
        <v>26</v>
      </c>
      <c r="I5" s="15" t="s">
        <v>27</v>
      </c>
      <c r="J5" s="15" t="s">
        <v>28</v>
      </c>
      <c r="K5" s="15" t="s">
        <v>29</v>
      </c>
      <c r="L5" s="15" t="s">
        <v>30</v>
      </c>
      <c r="M5" s="15" t="s">
        <v>31</v>
      </c>
      <c r="N5" s="15" t="s">
        <v>32</v>
      </c>
      <c r="O5" s="15" t="s">
        <v>33</v>
      </c>
      <c r="P5" s="15" t="s">
        <v>34</v>
      </c>
      <c r="Q5" s="15" t="s">
        <v>35</v>
      </c>
      <c r="R5" s="15" t="s">
        <v>38</v>
      </c>
      <c r="S5" s="15" t="s">
        <v>13</v>
      </c>
      <c r="T5" s="15" t="s">
        <v>39</v>
      </c>
      <c r="U5" s="15" t="s">
        <v>40</v>
      </c>
      <c r="V5" s="15" t="s">
        <v>41</v>
      </c>
      <c r="W5" s="15" t="s">
        <v>42</v>
      </c>
      <c r="X5" s="15" t="s">
        <v>43</v>
      </c>
    </row>
    <row r="6">
      <c r="A6" s="21" t="s">
        <v>14</v>
      </c>
      <c r="B6" s="22" t="s">
        <v>15</v>
      </c>
      <c r="C6" s="23"/>
      <c r="D6" s="24" t="s">
        <v>46</v>
      </c>
      <c r="E6" s="24" t="s">
        <v>47</v>
      </c>
      <c r="F6" s="25"/>
      <c r="G6" s="27"/>
      <c r="H6" s="27"/>
      <c r="I6" s="27"/>
      <c r="J6" s="27"/>
      <c r="K6" s="27"/>
      <c r="L6" s="27"/>
      <c r="M6" s="27"/>
      <c r="N6" s="27"/>
      <c r="O6" s="27"/>
      <c r="P6" s="27"/>
      <c r="Q6" s="30"/>
      <c r="R6" s="23"/>
      <c r="S6" s="23"/>
      <c r="T6" s="25"/>
      <c r="U6" s="27"/>
      <c r="V6" s="27"/>
      <c r="W6" s="27"/>
      <c r="X6" s="33"/>
    </row>
    <row r="7">
      <c r="A7" s="34" t="s">
        <v>21</v>
      </c>
      <c r="B7" s="35" t="s">
        <v>22</v>
      </c>
      <c r="C7" s="36"/>
      <c r="D7" s="37" t="s">
        <v>46</v>
      </c>
      <c r="E7" s="37" t="s">
        <v>47</v>
      </c>
      <c r="F7" s="38"/>
      <c r="G7" s="39"/>
      <c r="H7" s="39"/>
      <c r="I7" s="39"/>
      <c r="J7" s="39"/>
      <c r="K7" s="39"/>
      <c r="L7" s="39"/>
      <c r="M7" s="39"/>
      <c r="N7" s="39"/>
      <c r="O7" s="39"/>
      <c r="P7" s="39"/>
      <c r="Q7" s="40"/>
      <c r="R7" s="36"/>
      <c r="S7" s="36"/>
      <c r="T7" s="38"/>
      <c r="U7" s="39"/>
      <c r="V7" s="39"/>
      <c r="W7" s="39"/>
      <c r="X7" s="41"/>
    </row>
    <row r="8">
      <c r="A8" s="34" t="s">
        <v>36</v>
      </c>
      <c r="B8" s="35" t="s">
        <v>50</v>
      </c>
      <c r="C8" s="35" t="s">
        <v>51</v>
      </c>
      <c r="D8" s="37" t="s">
        <v>46</v>
      </c>
      <c r="E8" s="37" t="s">
        <v>47</v>
      </c>
      <c r="F8" s="38"/>
      <c r="G8" s="39"/>
      <c r="H8" s="39"/>
      <c r="I8" s="39"/>
      <c r="J8" s="39"/>
      <c r="K8" s="39"/>
      <c r="L8" s="39"/>
      <c r="M8" s="39"/>
      <c r="N8" s="39"/>
      <c r="O8" s="39"/>
      <c r="P8" s="39"/>
      <c r="Q8" s="40"/>
      <c r="R8" s="36"/>
      <c r="S8" s="36"/>
      <c r="T8" s="38"/>
      <c r="U8" s="39"/>
      <c r="V8" s="39"/>
      <c r="W8" s="39"/>
      <c r="X8" s="41"/>
    </row>
    <row r="9">
      <c r="A9" s="34" t="s">
        <v>44</v>
      </c>
      <c r="B9" s="35" t="s">
        <v>45</v>
      </c>
      <c r="C9" s="36"/>
      <c r="D9" s="37" t="s">
        <v>46</v>
      </c>
      <c r="E9" s="37" t="s">
        <v>47</v>
      </c>
      <c r="F9" s="38"/>
      <c r="G9" s="39"/>
      <c r="H9" s="39"/>
      <c r="I9" s="39"/>
      <c r="J9" s="39"/>
      <c r="K9" s="39"/>
      <c r="L9" s="39"/>
      <c r="M9" s="39"/>
      <c r="N9" s="39"/>
      <c r="O9" s="39"/>
      <c r="P9" s="39"/>
      <c r="Q9" s="40"/>
      <c r="R9" s="36"/>
      <c r="S9" s="36"/>
      <c r="T9" s="38"/>
      <c r="U9" s="39"/>
      <c r="V9" s="39"/>
      <c r="W9" s="39"/>
      <c r="X9" s="41"/>
    </row>
    <row r="10">
      <c r="A10" s="42" t="s">
        <v>48</v>
      </c>
      <c r="B10" s="43"/>
      <c r="C10" s="43"/>
      <c r="D10" s="44" t="s">
        <v>46</v>
      </c>
      <c r="E10" s="44" t="s">
        <v>47</v>
      </c>
      <c r="F10" s="45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7"/>
      <c r="R10" s="43"/>
      <c r="S10" s="43"/>
      <c r="T10" s="45"/>
      <c r="U10" s="46"/>
      <c r="V10" s="46"/>
      <c r="W10" s="46"/>
      <c r="X10" s="48"/>
    </row>
    <row r="11">
      <c r="A11" s="49"/>
      <c r="B11" s="49"/>
      <c r="C11" s="49"/>
      <c r="D11" s="49"/>
      <c r="E11" s="49"/>
      <c r="F11" s="50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50"/>
      <c r="U11" s="49"/>
      <c r="V11" s="49"/>
      <c r="W11" s="49"/>
      <c r="X11" s="49"/>
    </row>
    <row r="12">
      <c r="A12" s="49"/>
      <c r="B12" s="49"/>
      <c r="C12" s="49"/>
      <c r="D12" s="49"/>
      <c r="E12" s="49"/>
      <c r="F12" s="50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50"/>
      <c r="U12" s="49"/>
      <c r="V12" s="49"/>
      <c r="W12" s="49"/>
      <c r="X12" s="49"/>
    </row>
    <row r="13">
      <c r="A13" s="49"/>
      <c r="B13" s="49"/>
      <c r="C13" s="49"/>
      <c r="D13" s="49"/>
      <c r="E13" s="49"/>
      <c r="F13" s="50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50"/>
      <c r="U13" s="49"/>
      <c r="V13" s="49"/>
      <c r="W13" s="49"/>
      <c r="X13" s="49"/>
    </row>
    <row r="14">
      <c r="A14" s="49"/>
      <c r="B14" s="49"/>
      <c r="C14" s="49"/>
      <c r="D14" s="49"/>
      <c r="E14" s="49"/>
      <c r="F14" s="50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50"/>
      <c r="U14" s="49"/>
      <c r="V14" s="49"/>
      <c r="W14" s="49"/>
      <c r="X14" s="49"/>
    </row>
    <row r="15">
      <c r="A15" s="49"/>
      <c r="B15" s="49"/>
      <c r="C15" s="49"/>
      <c r="D15" s="49"/>
      <c r="E15" s="49"/>
      <c r="F15" s="50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50"/>
      <c r="U15" s="49"/>
      <c r="V15" s="49"/>
      <c r="W15" s="49"/>
      <c r="X15" s="49"/>
    </row>
    <row r="16">
      <c r="A16" s="49"/>
      <c r="B16" s="49"/>
      <c r="C16" s="49"/>
      <c r="D16" s="49"/>
      <c r="E16" s="49"/>
      <c r="F16" s="50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50"/>
      <c r="U16" s="49"/>
      <c r="V16" s="49"/>
      <c r="W16" s="49"/>
      <c r="X16" s="49"/>
    </row>
    <row r="17">
      <c r="A17" s="49"/>
      <c r="B17" s="49"/>
      <c r="C17" s="49"/>
      <c r="D17" s="49"/>
      <c r="E17" s="49"/>
      <c r="F17" s="50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50"/>
      <c r="U17" s="49"/>
      <c r="V17" s="49"/>
      <c r="W17" s="49"/>
      <c r="X17" s="49"/>
    </row>
    <row r="18">
      <c r="A18" s="49"/>
      <c r="B18" s="49"/>
      <c r="C18" s="49"/>
      <c r="D18" s="49"/>
      <c r="E18" s="49"/>
      <c r="F18" s="50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50"/>
      <c r="U18" s="49"/>
      <c r="V18" s="49"/>
      <c r="W18" s="49"/>
      <c r="X18" s="49"/>
    </row>
    <row r="19">
      <c r="A19" s="49"/>
      <c r="B19" s="49"/>
      <c r="C19" s="49"/>
      <c r="D19" s="49"/>
      <c r="E19" s="49"/>
      <c r="F19" s="50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50"/>
      <c r="U19" s="49"/>
      <c r="V19" s="49"/>
      <c r="W19" s="49"/>
      <c r="X19" s="49"/>
    </row>
    <row r="20">
      <c r="A20" s="49"/>
      <c r="B20" s="49"/>
      <c r="C20" s="49"/>
      <c r="D20" s="49"/>
      <c r="E20" s="49"/>
      <c r="F20" s="50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50"/>
      <c r="U20" s="49"/>
      <c r="V20" s="49"/>
      <c r="W20" s="49"/>
      <c r="X20" s="49"/>
    </row>
    <row r="21" ht="15.75" customHeight="1">
      <c r="A21" s="49"/>
      <c r="B21" s="49"/>
      <c r="C21" s="49"/>
      <c r="D21" s="49"/>
      <c r="E21" s="49"/>
      <c r="F21" s="50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50"/>
      <c r="U21" s="49"/>
      <c r="V21" s="49"/>
      <c r="W21" s="49"/>
      <c r="X21" s="49"/>
    </row>
    <row r="22" ht="15.75" customHeight="1">
      <c r="A22" s="49"/>
      <c r="B22" s="49"/>
      <c r="C22" s="49"/>
      <c r="D22" s="49"/>
      <c r="E22" s="49"/>
      <c r="F22" s="50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50"/>
      <c r="U22" s="49"/>
      <c r="V22" s="49"/>
      <c r="W22" s="49"/>
      <c r="X22" s="49"/>
    </row>
    <row r="23" ht="15.75" customHeight="1">
      <c r="A23" s="49"/>
      <c r="B23" s="49"/>
      <c r="C23" s="49"/>
      <c r="D23" s="49"/>
      <c r="E23" s="49"/>
      <c r="F23" s="50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50"/>
      <c r="U23" s="49"/>
      <c r="V23" s="49"/>
      <c r="W23" s="49"/>
      <c r="X23" s="49"/>
    </row>
    <row r="24" ht="15.75" customHeight="1">
      <c r="A24" s="49"/>
      <c r="B24" s="49"/>
      <c r="C24" s="49"/>
      <c r="D24" s="49"/>
      <c r="E24" s="49"/>
      <c r="F24" s="50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50"/>
      <c r="U24" s="49"/>
      <c r="V24" s="49"/>
      <c r="W24" s="49"/>
      <c r="X24" s="49"/>
    </row>
    <row r="25" ht="15.75" customHeight="1">
      <c r="A25" s="49"/>
      <c r="B25" s="49"/>
      <c r="C25" s="49"/>
      <c r="D25" s="49"/>
      <c r="E25" s="49"/>
      <c r="F25" s="50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50"/>
      <c r="U25" s="49"/>
      <c r="V25" s="49"/>
      <c r="W25" s="49"/>
      <c r="X25" s="49"/>
    </row>
    <row r="26" ht="15.75" customHeight="1">
      <c r="A26" s="49"/>
      <c r="B26" s="49"/>
      <c r="C26" s="49"/>
      <c r="D26" s="49"/>
      <c r="E26" s="49"/>
      <c r="F26" s="50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50"/>
      <c r="U26" s="49"/>
      <c r="V26" s="49"/>
      <c r="W26" s="49"/>
      <c r="X26" s="49"/>
    </row>
    <row r="27" ht="15.75" customHeight="1">
      <c r="A27" s="49"/>
      <c r="B27" s="49"/>
      <c r="C27" s="49"/>
      <c r="D27" s="49"/>
      <c r="E27" s="49"/>
      <c r="F27" s="50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50"/>
      <c r="U27" s="49"/>
      <c r="V27" s="49"/>
      <c r="W27" s="49"/>
      <c r="X27" s="49"/>
    </row>
    <row r="28" ht="15.75" customHeight="1">
      <c r="A28" s="49"/>
      <c r="B28" s="49"/>
      <c r="C28" s="49"/>
      <c r="D28" s="49"/>
      <c r="E28" s="49"/>
      <c r="F28" s="50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50"/>
      <c r="U28" s="49"/>
      <c r="V28" s="49"/>
      <c r="W28" s="49"/>
      <c r="X28" s="49"/>
    </row>
    <row r="29" ht="15.75" customHeight="1">
      <c r="A29" s="49"/>
      <c r="B29" s="49"/>
      <c r="C29" s="49"/>
      <c r="D29" s="49"/>
      <c r="E29" s="49"/>
      <c r="F29" s="50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50"/>
      <c r="U29" s="49"/>
      <c r="V29" s="49"/>
      <c r="W29" s="49"/>
      <c r="X29" s="49"/>
    </row>
    <row r="30" ht="15.75" customHeight="1">
      <c r="A30" s="49"/>
      <c r="B30" s="49"/>
      <c r="C30" s="49"/>
      <c r="D30" s="49"/>
      <c r="E30" s="49"/>
      <c r="F30" s="50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50"/>
      <c r="U30" s="49"/>
      <c r="V30" s="49"/>
      <c r="W30" s="49"/>
      <c r="X30" s="49"/>
    </row>
    <row r="31" ht="15.75" customHeight="1">
      <c r="A31" s="49"/>
      <c r="B31" s="49"/>
      <c r="C31" s="49"/>
      <c r="D31" s="49"/>
      <c r="E31" s="49"/>
      <c r="F31" s="50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50"/>
      <c r="U31" s="49"/>
      <c r="V31" s="49"/>
      <c r="W31" s="49"/>
      <c r="X31" s="49"/>
    </row>
    <row r="32" ht="15.75" customHeight="1">
      <c r="A32" s="49"/>
      <c r="B32" s="49"/>
      <c r="C32" s="49"/>
      <c r="D32" s="49"/>
      <c r="E32" s="49"/>
      <c r="F32" s="50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50"/>
      <c r="U32" s="49"/>
      <c r="V32" s="49"/>
      <c r="W32" s="49"/>
      <c r="X32" s="49"/>
    </row>
    <row r="33" ht="15.75" customHeight="1">
      <c r="A33" s="49"/>
      <c r="B33" s="49"/>
      <c r="C33" s="49"/>
      <c r="D33" s="49"/>
      <c r="E33" s="49"/>
      <c r="F33" s="50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50"/>
      <c r="U33" s="49"/>
      <c r="V33" s="49"/>
      <c r="W33" s="49"/>
      <c r="X33" s="49"/>
    </row>
    <row r="34" ht="15.75" customHeight="1">
      <c r="A34" s="49"/>
      <c r="B34" s="49"/>
      <c r="C34" s="49"/>
      <c r="D34" s="49"/>
      <c r="E34" s="49"/>
      <c r="F34" s="50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50"/>
      <c r="U34" s="49"/>
      <c r="V34" s="49"/>
      <c r="W34" s="49"/>
      <c r="X34" s="49"/>
    </row>
    <row r="35" ht="15.75" customHeight="1">
      <c r="A35" s="49"/>
      <c r="B35" s="49"/>
      <c r="C35" s="49"/>
      <c r="D35" s="49"/>
      <c r="E35" s="49"/>
      <c r="F35" s="50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50"/>
      <c r="U35" s="49"/>
      <c r="V35" s="49"/>
      <c r="W35" s="49"/>
      <c r="X35" s="49"/>
    </row>
    <row r="36" ht="15.75" customHeight="1">
      <c r="A36" s="49"/>
      <c r="B36" s="49"/>
      <c r="C36" s="49"/>
      <c r="D36" s="49"/>
      <c r="E36" s="49"/>
      <c r="F36" s="50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50"/>
      <c r="U36" s="49"/>
      <c r="V36" s="49"/>
      <c r="W36" s="49"/>
      <c r="X36" s="49"/>
    </row>
    <row r="37" ht="15.75" customHeight="1">
      <c r="A37" s="49"/>
      <c r="B37" s="49"/>
      <c r="C37" s="49"/>
      <c r="D37" s="49"/>
      <c r="E37" s="49"/>
      <c r="F37" s="50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50"/>
      <c r="U37" s="49"/>
      <c r="V37" s="49"/>
      <c r="W37" s="49"/>
      <c r="X37" s="49"/>
    </row>
    <row r="38" ht="15.75" customHeight="1">
      <c r="A38" s="49"/>
      <c r="B38" s="49"/>
      <c r="C38" s="49"/>
      <c r="D38" s="49"/>
      <c r="E38" s="49"/>
      <c r="F38" s="50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50"/>
      <c r="U38" s="49"/>
      <c r="V38" s="49"/>
      <c r="W38" s="49"/>
      <c r="X38" s="49"/>
    </row>
    <row r="39" ht="15.75" customHeight="1">
      <c r="A39" s="49"/>
      <c r="B39" s="49"/>
      <c r="C39" s="49"/>
      <c r="D39" s="49"/>
      <c r="E39" s="49"/>
      <c r="F39" s="50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50"/>
      <c r="U39" s="49"/>
      <c r="V39" s="49"/>
      <c r="W39" s="49"/>
      <c r="X39" s="49"/>
    </row>
    <row r="40" ht="15.75" customHeight="1">
      <c r="A40" s="49"/>
      <c r="B40" s="49"/>
      <c r="C40" s="49"/>
      <c r="D40" s="49"/>
      <c r="E40" s="49"/>
      <c r="F40" s="50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50"/>
      <c r="U40" s="49"/>
      <c r="V40" s="49"/>
      <c r="W40" s="49"/>
      <c r="X40" s="49"/>
    </row>
    <row r="41" ht="15.75" customHeight="1">
      <c r="A41" s="49"/>
      <c r="B41" s="49"/>
      <c r="C41" s="49"/>
      <c r="D41" s="49"/>
      <c r="E41" s="49"/>
      <c r="F41" s="50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50"/>
      <c r="U41" s="49"/>
      <c r="V41" s="49"/>
      <c r="W41" s="49"/>
      <c r="X41" s="49"/>
    </row>
    <row r="42" ht="15.75" customHeight="1">
      <c r="A42" s="49"/>
      <c r="B42" s="49"/>
      <c r="C42" s="49"/>
      <c r="D42" s="49"/>
      <c r="E42" s="49"/>
      <c r="F42" s="50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50"/>
      <c r="U42" s="49"/>
      <c r="V42" s="49"/>
      <c r="W42" s="49"/>
      <c r="X42" s="49"/>
    </row>
    <row r="43" ht="15.75" customHeight="1">
      <c r="A43" s="49"/>
      <c r="B43" s="49"/>
      <c r="C43" s="49"/>
      <c r="D43" s="49"/>
      <c r="E43" s="49"/>
      <c r="F43" s="50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50"/>
      <c r="U43" s="49"/>
      <c r="V43" s="49"/>
      <c r="W43" s="49"/>
      <c r="X43" s="49"/>
    </row>
    <row r="44" ht="15.75" customHeight="1">
      <c r="A44" s="49"/>
      <c r="B44" s="49"/>
      <c r="C44" s="49"/>
      <c r="D44" s="49"/>
      <c r="E44" s="49"/>
      <c r="F44" s="50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50"/>
      <c r="U44" s="49"/>
      <c r="V44" s="49"/>
      <c r="W44" s="49"/>
      <c r="X44" s="49"/>
    </row>
    <row r="45" ht="15.75" customHeight="1">
      <c r="A45" s="49"/>
      <c r="B45" s="49"/>
      <c r="C45" s="49"/>
      <c r="D45" s="49"/>
      <c r="E45" s="49"/>
      <c r="F45" s="50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50"/>
      <c r="U45" s="49"/>
      <c r="V45" s="49"/>
      <c r="W45" s="49"/>
      <c r="X45" s="49"/>
    </row>
    <row r="46" ht="15.75" customHeight="1">
      <c r="A46" s="49"/>
      <c r="B46" s="49"/>
      <c r="C46" s="49"/>
      <c r="D46" s="49"/>
      <c r="E46" s="49"/>
      <c r="F46" s="50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50"/>
      <c r="U46" s="49"/>
      <c r="V46" s="49"/>
      <c r="W46" s="49"/>
      <c r="X46" s="49"/>
    </row>
    <row r="47" ht="15.75" customHeight="1">
      <c r="A47" s="49"/>
      <c r="B47" s="49"/>
      <c r="C47" s="49"/>
      <c r="D47" s="49"/>
      <c r="E47" s="49"/>
      <c r="F47" s="50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50"/>
      <c r="U47" s="49"/>
      <c r="V47" s="49"/>
      <c r="W47" s="49"/>
      <c r="X47" s="49"/>
    </row>
    <row r="48" ht="15.75" customHeight="1">
      <c r="A48" s="49"/>
      <c r="B48" s="49"/>
      <c r="C48" s="49"/>
      <c r="D48" s="49"/>
      <c r="E48" s="49"/>
      <c r="F48" s="50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50"/>
      <c r="U48" s="49"/>
      <c r="V48" s="49"/>
      <c r="W48" s="49"/>
      <c r="X48" s="49"/>
    </row>
    <row r="49" ht="15.75" customHeight="1">
      <c r="A49" s="49"/>
      <c r="B49" s="49"/>
      <c r="C49" s="49"/>
      <c r="D49" s="49"/>
      <c r="E49" s="49"/>
      <c r="F49" s="50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50"/>
      <c r="U49" s="49"/>
      <c r="V49" s="49"/>
      <c r="W49" s="49"/>
      <c r="X49" s="49"/>
    </row>
    <row r="50" ht="15.75" customHeight="1">
      <c r="A50" s="49"/>
      <c r="B50" s="49"/>
      <c r="C50" s="49"/>
      <c r="D50" s="49"/>
      <c r="E50" s="49"/>
      <c r="F50" s="50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50"/>
      <c r="U50" s="49"/>
      <c r="V50" s="49"/>
      <c r="W50" s="49"/>
      <c r="X50" s="49"/>
    </row>
    <row r="51" ht="15.75" customHeight="1">
      <c r="A51" s="49"/>
      <c r="B51" s="49"/>
      <c r="C51" s="49"/>
      <c r="D51" s="49"/>
      <c r="E51" s="49"/>
      <c r="F51" s="50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50"/>
      <c r="U51" s="49"/>
      <c r="V51" s="49"/>
      <c r="W51" s="49"/>
      <c r="X51" s="49"/>
    </row>
    <row r="52" ht="15.75" customHeight="1">
      <c r="A52" s="49"/>
      <c r="B52" s="49"/>
      <c r="C52" s="49"/>
      <c r="D52" s="49"/>
      <c r="E52" s="49"/>
      <c r="F52" s="50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50"/>
      <c r="U52" s="49"/>
      <c r="V52" s="49"/>
      <c r="W52" s="49"/>
      <c r="X52" s="49"/>
    </row>
    <row r="53" ht="15.75" customHeight="1">
      <c r="A53" s="49"/>
      <c r="B53" s="49"/>
      <c r="C53" s="49"/>
      <c r="D53" s="49"/>
      <c r="E53" s="49"/>
      <c r="F53" s="50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50"/>
      <c r="U53" s="49"/>
      <c r="V53" s="49"/>
      <c r="W53" s="49"/>
      <c r="X53" s="49"/>
    </row>
    <row r="54" ht="15.75" customHeight="1">
      <c r="A54" s="49"/>
      <c r="B54" s="49"/>
      <c r="C54" s="49"/>
      <c r="D54" s="49"/>
      <c r="E54" s="49"/>
      <c r="F54" s="50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50"/>
      <c r="U54" s="49"/>
      <c r="V54" s="49"/>
      <c r="W54" s="49"/>
      <c r="X54" s="49"/>
    </row>
    <row r="55" ht="15.75" customHeight="1">
      <c r="A55" s="49"/>
      <c r="B55" s="49"/>
      <c r="C55" s="49"/>
      <c r="D55" s="49"/>
      <c r="E55" s="49"/>
      <c r="F55" s="50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50"/>
      <c r="U55" s="49"/>
      <c r="V55" s="49"/>
      <c r="W55" s="49"/>
      <c r="X55" s="49"/>
    </row>
    <row r="56" ht="15.75" customHeight="1">
      <c r="A56" s="49"/>
      <c r="B56" s="49"/>
      <c r="C56" s="49"/>
      <c r="D56" s="49"/>
      <c r="E56" s="49"/>
      <c r="F56" s="50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50"/>
      <c r="U56" s="49"/>
      <c r="V56" s="49"/>
      <c r="W56" s="49"/>
      <c r="X56" s="49"/>
    </row>
    <row r="57" ht="15.75" customHeight="1">
      <c r="A57" s="49"/>
      <c r="B57" s="49"/>
      <c r="C57" s="49"/>
      <c r="D57" s="49"/>
      <c r="E57" s="49"/>
      <c r="F57" s="50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50"/>
      <c r="U57" s="49"/>
      <c r="V57" s="49"/>
      <c r="W57" s="49"/>
      <c r="X57" s="49"/>
    </row>
    <row r="58" ht="15.75" customHeight="1">
      <c r="A58" s="49"/>
      <c r="B58" s="49"/>
      <c r="C58" s="49"/>
      <c r="D58" s="49"/>
      <c r="E58" s="49"/>
      <c r="F58" s="50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50"/>
      <c r="U58" s="49"/>
      <c r="V58" s="49"/>
      <c r="W58" s="49"/>
      <c r="X58" s="49"/>
    </row>
    <row r="59" ht="15.75" customHeight="1">
      <c r="A59" s="49"/>
      <c r="B59" s="49"/>
      <c r="C59" s="49"/>
      <c r="D59" s="49"/>
      <c r="E59" s="49"/>
      <c r="F59" s="50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50"/>
      <c r="U59" s="49"/>
      <c r="V59" s="49"/>
      <c r="W59" s="49"/>
      <c r="X59" s="49"/>
    </row>
    <row r="60" ht="15.75" customHeight="1">
      <c r="A60" s="49"/>
      <c r="B60" s="49"/>
      <c r="C60" s="49"/>
      <c r="D60" s="49"/>
      <c r="E60" s="49"/>
      <c r="F60" s="50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50"/>
      <c r="U60" s="49"/>
      <c r="V60" s="49"/>
      <c r="W60" s="49"/>
      <c r="X60" s="49"/>
    </row>
    <row r="61" ht="15.75" customHeight="1">
      <c r="A61" s="49"/>
      <c r="B61" s="49"/>
      <c r="C61" s="49"/>
      <c r="D61" s="49"/>
      <c r="E61" s="49"/>
      <c r="F61" s="50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50"/>
      <c r="U61" s="49"/>
      <c r="V61" s="49"/>
      <c r="W61" s="49"/>
      <c r="X61" s="49"/>
    </row>
    <row r="62" ht="15.75" customHeight="1">
      <c r="A62" s="49"/>
      <c r="B62" s="49"/>
      <c r="C62" s="49"/>
      <c r="D62" s="49"/>
      <c r="E62" s="49"/>
      <c r="F62" s="50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50"/>
      <c r="U62" s="49"/>
      <c r="V62" s="49"/>
      <c r="W62" s="49"/>
      <c r="X62" s="49"/>
    </row>
    <row r="63" ht="15.75" customHeight="1">
      <c r="A63" s="49"/>
      <c r="B63" s="49"/>
      <c r="C63" s="49"/>
      <c r="D63" s="49"/>
      <c r="E63" s="49"/>
      <c r="F63" s="50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50"/>
      <c r="U63" s="49"/>
      <c r="V63" s="49"/>
      <c r="W63" s="49"/>
      <c r="X63" s="49"/>
    </row>
    <row r="64" ht="15.75" customHeight="1">
      <c r="A64" s="49"/>
      <c r="B64" s="49"/>
      <c r="C64" s="49"/>
      <c r="D64" s="49"/>
      <c r="E64" s="49"/>
      <c r="F64" s="50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50"/>
      <c r="U64" s="49"/>
      <c r="V64" s="49"/>
      <c r="W64" s="49"/>
      <c r="X64" s="49"/>
    </row>
    <row r="65" ht="15.75" customHeight="1">
      <c r="A65" s="49"/>
      <c r="B65" s="49"/>
      <c r="C65" s="49"/>
      <c r="D65" s="49"/>
      <c r="E65" s="49"/>
      <c r="F65" s="50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50"/>
      <c r="U65" s="49"/>
      <c r="V65" s="49"/>
      <c r="W65" s="49"/>
      <c r="X65" s="49"/>
    </row>
    <row r="66" ht="15.75" customHeight="1">
      <c r="A66" s="49"/>
      <c r="B66" s="49"/>
      <c r="C66" s="49"/>
      <c r="D66" s="49"/>
      <c r="E66" s="49"/>
      <c r="F66" s="50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50"/>
      <c r="U66" s="49"/>
      <c r="V66" s="49"/>
      <c r="W66" s="49"/>
      <c r="X66" s="49"/>
    </row>
    <row r="67" ht="15.75" customHeight="1">
      <c r="A67" s="49"/>
      <c r="B67" s="49"/>
      <c r="C67" s="49"/>
      <c r="D67" s="49"/>
      <c r="E67" s="49"/>
      <c r="F67" s="50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50"/>
      <c r="U67" s="49"/>
      <c r="V67" s="49"/>
      <c r="W67" s="49"/>
      <c r="X67" s="49"/>
    </row>
    <row r="68" ht="15.75" customHeight="1">
      <c r="A68" s="49"/>
      <c r="B68" s="49"/>
      <c r="C68" s="49"/>
      <c r="D68" s="49"/>
      <c r="E68" s="49"/>
      <c r="F68" s="50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50"/>
      <c r="U68" s="49"/>
      <c r="V68" s="49"/>
      <c r="W68" s="49"/>
      <c r="X68" s="49"/>
    </row>
    <row r="69" ht="15.75" customHeight="1">
      <c r="A69" s="49"/>
      <c r="B69" s="49"/>
      <c r="C69" s="49"/>
      <c r="D69" s="49"/>
      <c r="E69" s="49"/>
      <c r="F69" s="50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50"/>
      <c r="U69" s="49"/>
      <c r="V69" s="49"/>
      <c r="W69" s="49"/>
      <c r="X69" s="49"/>
    </row>
    <row r="70" ht="15.75" customHeight="1">
      <c r="A70" s="49"/>
      <c r="B70" s="49"/>
      <c r="C70" s="49"/>
      <c r="D70" s="49"/>
      <c r="E70" s="49"/>
      <c r="F70" s="50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50"/>
      <c r="U70" s="49"/>
      <c r="V70" s="49"/>
      <c r="W70" s="49"/>
      <c r="X70" s="49"/>
    </row>
    <row r="71" ht="15.75" customHeight="1">
      <c r="A71" s="49"/>
      <c r="B71" s="49"/>
      <c r="C71" s="49"/>
      <c r="D71" s="49"/>
      <c r="E71" s="49"/>
      <c r="F71" s="50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50"/>
      <c r="U71" s="49"/>
      <c r="V71" s="49"/>
      <c r="W71" s="49"/>
      <c r="X71" s="49"/>
    </row>
    <row r="72" ht="15.75" customHeight="1">
      <c r="A72" s="49"/>
      <c r="B72" s="49"/>
      <c r="C72" s="49"/>
      <c r="D72" s="49"/>
      <c r="E72" s="49"/>
      <c r="F72" s="50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50"/>
      <c r="U72" s="49"/>
      <c r="V72" s="49"/>
      <c r="W72" s="49"/>
      <c r="X72" s="49"/>
    </row>
    <row r="73" ht="15.75" customHeight="1">
      <c r="A73" s="49"/>
      <c r="B73" s="49"/>
      <c r="C73" s="49"/>
      <c r="D73" s="49"/>
      <c r="E73" s="49"/>
      <c r="F73" s="50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50"/>
      <c r="U73" s="49"/>
      <c r="V73" s="49"/>
      <c r="W73" s="49"/>
      <c r="X73" s="49"/>
    </row>
    <row r="74" ht="15.75" customHeight="1">
      <c r="A74" s="49"/>
      <c r="B74" s="49"/>
      <c r="C74" s="49"/>
      <c r="D74" s="49"/>
      <c r="E74" s="49"/>
      <c r="F74" s="50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50"/>
      <c r="U74" s="49"/>
      <c r="V74" s="49"/>
      <c r="W74" s="49"/>
      <c r="X74" s="49"/>
    </row>
    <row r="75" ht="15.75" customHeight="1">
      <c r="A75" s="49"/>
      <c r="B75" s="49"/>
      <c r="C75" s="49"/>
      <c r="D75" s="49"/>
      <c r="E75" s="49"/>
      <c r="F75" s="50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50"/>
      <c r="U75" s="49"/>
      <c r="V75" s="49"/>
      <c r="W75" s="49"/>
      <c r="X75" s="49"/>
    </row>
    <row r="76" ht="15.75" customHeight="1">
      <c r="A76" s="49"/>
      <c r="B76" s="49"/>
      <c r="C76" s="49"/>
      <c r="D76" s="49"/>
      <c r="E76" s="49"/>
      <c r="F76" s="50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50"/>
      <c r="U76" s="49"/>
      <c r="V76" s="49"/>
      <c r="W76" s="49"/>
      <c r="X76" s="49"/>
    </row>
    <row r="77" ht="15.75" customHeight="1">
      <c r="A77" s="49"/>
      <c r="B77" s="49"/>
      <c r="C77" s="49"/>
      <c r="D77" s="49"/>
      <c r="E77" s="49"/>
      <c r="F77" s="50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50"/>
      <c r="U77" s="49"/>
      <c r="V77" s="49"/>
      <c r="W77" s="49"/>
      <c r="X77" s="49"/>
    </row>
    <row r="78" ht="15.75" customHeight="1">
      <c r="A78" s="49"/>
      <c r="B78" s="49"/>
      <c r="C78" s="49"/>
      <c r="D78" s="49"/>
      <c r="E78" s="49"/>
      <c r="F78" s="50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50"/>
      <c r="U78" s="49"/>
      <c r="V78" s="49"/>
      <c r="W78" s="49"/>
      <c r="X78" s="49"/>
    </row>
    <row r="79" ht="15.75" customHeight="1">
      <c r="A79" s="49"/>
      <c r="B79" s="49"/>
      <c r="C79" s="49"/>
      <c r="D79" s="49"/>
      <c r="E79" s="49"/>
      <c r="F79" s="50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50"/>
      <c r="U79" s="49"/>
      <c r="V79" s="49"/>
      <c r="W79" s="49"/>
      <c r="X79" s="49"/>
    </row>
    <row r="80" ht="15.75" customHeight="1">
      <c r="A80" s="49"/>
      <c r="B80" s="49"/>
      <c r="C80" s="49"/>
      <c r="D80" s="49"/>
      <c r="E80" s="49"/>
      <c r="F80" s="50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50"/>
      <c r="U80" s="49"/>
      <c r="V80" s="49"/>
      <c r="W80" s="49"/>
      <c r="X80" s="49"/>
    </row>
    <row r="81" ht="15.75" customHeight="1">
      <c r="A81" s="49"/>
      <c r="B81" s="49"/>
      <c r="C81" s="49"/>
      <c r="D81" s="49"/>
      <c r="E81" s="49"/>
      <c r="F81" s="50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50"/>
      <c r="U81" s="49"/>
      <c r="V81" s="49"/>
      <c r="W81" s="49"/>
      <c r="X81" s="49"/>
    </row>
    <row r="82" ht="15.75" customHeight="1">
      <c r="A82" s="49"/>
      <c r="B82" s="49"/>
      <c r="C82" s="49"/>
      <c r="D82" s="49"/>
      <c r="E82" s="49"/>
      <c r="F82" s="50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50"/>
      <c r="U82" s="49"/>
      <c r="V82" s="49"/>
      <c r="W82" s="49"/>
      <c r="X82" s="49"/>
    </row>
    <row r="83" ht="15.75" customHeight="1">
      <c r="A83" s="49"/>
      <c r="B83" s="49"/>
      <c r="C83" s="49"/>
      <c r="D83" s="49"/>
      <c r="E83" s="49"/>
      <c r="F83" s="50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50"/>
      <c r="U83" s="49"/>
      <c r="V83" s="49"/>
      <c r="W83" s="49"/>
      <c r="X83" s="49"/>
    </row>
    <row r="84" ht="15.75" customHeight="1">
      <c r="A84" s="49"/>
      <c r="B84" s="49"/>
      <c r="C84" s="49"/>
      <c r="D84" s="49"/>
      <c r="E84" s="49"/>
      <c r="F84" s="50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50"/>
      <c r="U84" s="49"/>
      <c r="V84" s="49"/>
      <c r="W84" s="49"/>
      <c r="X84" s="49"/>
    </row>
    <row r="85" ht="15.75" customHeight="1">
      <c r="A85" s="49"/>
      <c r="B85" s="49"/>
      <c r="C85" s="49"/>
      <c r="D85" s="49"/>
      <c r="E85" s="49"/>
      <c r="F85" s="50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50"/>
      <c r="U85" s="49"/>
      <c r="V85" s="49"/>
      <c r="W85" s="49"/>
      <c r="X85" s="49"/>
    </row>
    <row r="86" ht="15.75" customHeight="1">
      <c r="A86" s="49"/>
      <c r="B86" s="49"/>
      <c r="C86" s="49"/>
      <c r="D86" s="49"/>
      <c r="E86" s="49"/>
      <c r="F86" s="50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50"/>
      <c r="U86" s="49"/>
      <c r="V86" s="49"/>
      <c r="W86" s="49"/>
      <c r="X86" s="49"/>
    </row>
    <row r="87" ht="15.75" customHeight="1">
      <c r="A87" s="49"/>
      <c r="B87" s="49"/>
      <c r="C87" s="49"/>
      <c r="D87" s="49"/>
      <c r="E87" s="49"/>
      <c r="F87" s="50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50"/>
      <c r="U87" s="49"/>
      <c r="V87" s="49"/>
      <c r="W87" s="49"/>
      <c r="X87" s="49"/>
    </row>
    <row r="88" ht="15.75" customHeight="1">
      <c r="A88" s="49"/>
      <c r="B88" s="49"/>
      <c r="C88" s="49"/>
      <c r="D88" s="49"/>
      <c r="E88" s="49"/>
      <c r="F88" s="50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50"/>
      <c r="U88" s="49"/>
      <c r="V88" s="49"/>
      <c r="W88" s="49"/>
      <c r="X88" s="49"/>
    </row>
    <row r="89" ht="15.75" customHeight="1">
      <c r="A89" s="49"/>
      <c r="B89" s="49"/>
      <c r="C89" s="49"/>
      <c r="D89" s="49"/>
      <c r="E89" s="49"/>
      <c r="F89" s="50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50"/>
      <c r="U89" s="49"/>
      <c r="V89" s="49"/>
      <c r="W89" s="49"/>
      <c r="X89" s="49"/>
    </row>
    <row r="90" ht="15.75" customHeight="1">
      <c r="A90" s="49"/>
      <c r="B90" s="49"/>
      <c r="C90" s="49"/>
      <c r="D90" s="49"/>
      <c r="E90" s="49"/>
      <c r="F90" s="50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50"/>
      <c r="U90" s="49"/>
      <c r="V90" s="49"/>
      <c r="W90" s="49"/>
      <c r="X90" s="49"/>
    </row>
    <row r="91" ht="15.75" customHeight="1">
      <c r="A91" s="49"/>
      <c r="B91" s="49"/>
      <c r="C91" s="49"/>
      <c r="D91" s="49"/>
      <c r="E91" s="49"/>
      <c r="F91" s="50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50"/>
      <c r="U91" s="49"/>
      <c r="V91" s="49"/>
      <c r="W91" s="49"/>
      <c r="X91" s="49"/>
    </row>
    <row r="92" ht="15.75" customHeight="1">
      <c r="A92" s="49"/>
      <c r="B92" s="49"/>
      <c r="C92" s="49"/>
      <c r="D92" s="49"/>
      <c r="E92" s="49"/>
      <c r="F92" s="50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50"/>
      <c r="U92" s="49"/>
      <c r="V92" s="49"/>
      <c r="W92" s="49"/>
      <c r="X92" s="49"/>
    </row>
    <row r="93" ht="15.75" customHeight="1">
      <c r="A93" s="49"/>
      <c r="B93" s="49"/>
      <c r="C93" s="49"/>
      <c r="D93" s="49"/>
      <c r="E93" s="49"/>
      <c r="F93" s="50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50"/>
      <c r="U93" s="49"/>
      <c r="V93" s="49"/>
      <c r="W93" s="49"/>
      <c r="X93" s="49"/>
    </row>
    <row r="94" ht="15.75" customHeight="1">
      <c r="A94" s="49"/>
      <c r="B94" s="49"/>
      <c r="C94" s="49"/>
      <c r="D94" s="49"/>
      <c r="E94" s="49"/>
      <c r="F94" s="50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50"/>
      <c r="U94" s="49"/>
      <c r="V94" s="49"/>
      <c r="W94" s="49"/>
      <c r="X94" s="49"/>
    </row>
    <row r="95" ht="15.75" customHeight="1">
      <c r="A95" s="49"/>
      <c r="B95" s="49"/>
      <c r="C95" s="49"/>
      <c r="D95" s="49"/>
      <c r="E95" s="49"/>
      <c r="F95" s="50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50"/>
      <c r="U95" s="49"/>
      <c r="V95" s="49"/>
      <c r="W95" s="49"/>
      <c r="X95" s="49"/>
    </row>
    <row r="96" ht="15.75" customHeight="1">
      <c r="A96" s="49"/>
      <c r="B96" s="49"/>
      <c r="C96" s="49"/>
      <c r="D96" s="49"/>
      <c r="E96" s="49"/>
      <c r="F96" s="50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50"/>
      <c r="U96" s="49"/>
      <c r="V96" s="49"/>
      <c r="W96" s="49"/>
      <c r="X96" s="49"/>
    </row>
    <row r="97" ht="15.75" customHeight="1">
      <c r="A97" s="49"/>
      <c r="B97" s="49"/>
      <c r="C97" s="49"/>
      <c r="D97" s="49"/>
      <c r="E97" s="49"/>
      <c r="F97" s="50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50"/>
      <c r="U97" s="49"/>
      <c r="V97" s="49"/>
      <c r="W97" s="49"/>
      <c r="X97" s="49"/>
    </row>
    <row r="98" ht="15.75" customHeight="1">
      <c r="A98" s="49"/>
      <c r="B98" s="49"/>
      <c r="C98" s="49"/>
      <c r="D98" s="49"/>
      <c r="E98" s="49"/>
      <c r="F98" s="50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50"/>
      <c r="U98" s="49"/>
      <c r="V98" s="49"/>
      <c r="W98" s="49"/>
      <c r="X98" s="49"/>
    </row>
    <row r="99" ht="15.75" customHeight="1">
      <c r="A99" s="49"/>
      <c r="B99" s="49"/>
      <c r="C99" s="49"/>
      <c r="D99" s="49"/>
      <c r="E99" s="49"/>
      <c r="F99" s="50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50"/>
      <c r="U99" s="49"/>
      <c r="V99" s="49"/>
      <c r="W99" s="49"/>
      <c r="X99" s="49"/>
    </row>
    <row r="100" ht="15.75" customHeight="1">
      <c r="A100" s="49"/>
      <c r="B100" s="49"/>
      <c r="C100" s="49"/>
      <c r="D100" s="49"/>
      <c r="E100" s="49"/>
      <c r="F100" s="50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50"/>
      <c r="U100" s="49"/>
      <c r="V100" s="49"/>
      <c r="W100" s="49"/>
      <c r="X100" s="49"/>
    </row>
    <row r="101" ht="15.75" customHeight="1">
      <c r="A101" s="49"/>
      <c r="B101" s="49"/>
      <c r="C101" s="49"/>
      <c r="D101" s="49"/>
      <c r="E101" s="49"/>
      <c r="F101" s="50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50"/>
      <c r="U101" s="49"/>
      <c r="V101" s="49"/>
      <c r="W101" s="49"/>
      <c r="X101" s="49"/>
    </row>
    <row r="102" ht="15.75" customHeight="1">
      <c r="A102" s="49"/>
      <c r="B102" s="49"/>
      <c r="C102" s="49"/>
      <c r="D102" s="49"/>
      <c r="E102" s="49"/>
      <c r="F102" s="50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50"/>
      <c r="U102" s="49"/>
      <c r="V102" s="49"/>
      <c r="W102" s="49"/>
      <c r="X102" s="49"/>
    </row>
    <row r="103" ht="15.75" customHeight="1">
      <c r="A103" s="49"/>
      <c r="B103" s="49"/>
      <c r="C103" s="49"/>
      <c r="D103" s="49"/>
      <c r="E103" s="49"/>
      <c r="F103" s="50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50"/>
      <c r="U103" s="49"/>
      <c r="V103" s="49"/>
      <c r="W103" s="49"/>
      <c r="X103" s="49"/>
    </row>
    <row r="104" ht="15.75" customHeight="1">
      <c r="A104" s="49"/>
      <c r="B104" s="49"/>
      <c r="C104" s="49"/>
      <c r="D104" s="49"/>
      <c r="E104" s="49"/>
      <c r="F104" s="50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50"/>
      <c r="U104" s="49"/>
      <c r="V104" s="49"/>
      <c r="W104" s="49"/>
      <c r="X104" s="49"/>
    </row>
    <row r="105" ht="15.75" customHeight="1">
      <c r="A105" s="49"/>
      <c r="B105" s="49"/>
      <c r="C105" s="49"/>
      <c r="D105" s="49"/>
      <c r="E105" s="49"/>
      <c r="F105" s="50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50"/>
      <c r="U105" s="49"/>
      <c r="V105" s="49"/>
      <c r="W105" s="49"/>
      <c r="X105" s="49"/>
    </row>
    <row r="106" ht="15.75" customHeight="1">
      <c r="A106" s="49"/>
      <c r="B106" s="49"/>
      <c r="C106" s="49"/>
      <c r="D106" s="49"/>
      <c r="E106" s="49"/>
      <c r="F106" s="50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50"/>
      <c r="U106" s="49"/>
      <c r="V106" s="49"/>
      <c r="W106" s="49"/>
      <c r="X106" s="49"/>
    </row>
    <row r="107" ht="15.75" customHeight="1">
      <c r="A107" s="49"/>
      <c r="B107" s="49"/>
      <c r="C107" s="49"/>
      <c r="D107" s="49"/>
      <c r="E107" s="49"/>
      <c r="F107" s="50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50"/>
      <c r="U107" s="49"/>
      <c r="V107" s="49"/>
      <c r="W107" s="49"/>
      <c r="X107" s="49"/>
    </row>
    <row r="108" ht="15.75" customHeight="1">
      <c r="A108" s="49"/>
      <c r="B108" s="49"/>
      <c r="C108" s="49"/>
      <c r="D108" s="49"/>
      <c r="E108" s="49"/>
      <c r="F108" s="50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50"/>
      <c r="U108" s="49"/>
      <c r="V108" s="49"/>
      <c r="W108" s="49"/>
      <c r="X108" s="49"/>
    </row>
    <row r="109" ht="15.75" customHeight="1">
      <c r="A109" s="49"/>
      <c r="B109" s="49"/>
      <c r="C109" s="49"/>
      <c r="D109" s="49"/>
      <c r="E109" s="49"/>
      <c r="F109" s="50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50"/>
      <c r="U109" s="49"/>
      <c r="V109" s="49"/>
      <c r="W109" s="49"/>
      <c r="X109" s="49"/>
    </row>
    <row r="110" ht="15.75" customHeight="1">
      <c r="A110" s="49"/>
      <c r="B110" s="49"/>
      <c r="C110" s="49"/>
      <c r="D110" s="49"/>
      <c r="E110" s="49"/>
      <c r="F110" s="50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50"/>
      <c r="U110" s="49"/>
      <c r="V110" s="49"/>
      <c r="W110" s="49"/>
      <c r="X110" s="49"/>
    </row>
    <row r="111" ht="15.75" customHeight="1">
      <c r="A111" s="49"/>
      <c r="B111" s="49"/>
      <c r="C111" s="49"/>
      <c r="D111" s="49"/>
      <c r="E111" s="49"/>
      <c r="F111" s="50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50"/>
      <c r="U111" s="49"/>
      <c r="V111" s="49"/>
      <c r="W111" s="49"/>
      <c r="X111" s="49"/>
    </row>
    <row r="112" ht="15.75" customHeight="1">
      <c r="A112" s="49"/>
      <c r="B112" s="49"/>
      <c r="C112" s="49"/>
      <c r="D112" s="49"/>
      <c r="E112" s="49"/>
      <c r="F112" s="50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50"/>
      <c r="U112" s="49"/>
      <c r="V112" s="49"/>
      <c r="W112" s="49"/>
      <c r="X112" s="49"/>
    </row>
    <row r="113" ht="15.75" customHeight="1">
      <c r="A113" s="49"/>
      <c r="B113" s="49"/>
      <c r="C113" s="49"/>
      <c r="D113" s="49"/>
      <c r="E113" s="49"/>
      <c r="F113" s="50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50"/>
      <c r="U113" s="49"/>
      <c r="V113" s="49"/>
      <c r="W113" s="49"/>
      <c r="X113" s="49"/>
    </row>
    <row r="114" ht="15.75" customHeight="1">
      <c r="A114" s="49"/>
      <c r="B114" s="49"/>
      <c r="C114" s="49"/>
      <c r="D114" s="49"/>
      <c r="E114" s="49"/>
      <c r="F114" s="50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50"/>
      <c r="U114" s="49"/>
      <c r="V114" s="49"/>
      <c r="W114" s="49"/>
      <c r="X114" s="49"/>
    </row>
    <row r="115" ht="15.75" customHeight="1">
      <c r="A115" s="49"/>
      <c r="B115" s="49"/>
      <c r="C115" s="49"/>
      <c r="D115" s="49"/>
      <c r="E115" s="49"/>
      <c r="F115" s="50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50"/>
      <c r="U115" s="49"/>
      <c r="V115" s="49"/>
      <c r="W115" s="49"/>
      <c r="X115" s="49"/>
    </row>
    <row r="116" ht="15.75" customHeight="1">
      <c r="A116" s="49"/>
      <c r="B116" s="49"/>
      <c r="C116" s="49"/>
      <c r="D116" s="49"/>
      <c r="E116" s="49"/>
      <c r="F116" s="50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50"/>
      <c r="U116" s="49"/>
      <c r="V116" s="49"/>
      <c r="W116" s="49"/>
      <c r="X116" s="49"/>
    </row>
    <row r="117" ht="15.75" customHeight="1">
      <c r="A117" s="49"/>
      <c r="B117" s="49"/>
      <c r="C117" s="49"/>
      <c r="D117" s="49"/>
      <c r="E117" s="49"/>
      <c r="F117" s="50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50"/>
      <c r="U117" s="49"/>
      <c r="V117" s="49"/>
      <c r="W117" s="49"/>
      <c r="X117" s="49"/>
    </row>
    <row r="118" ht="15.75" customHeight="1">
      <c r="A118" s="49"/>
      <c r="B118" s="49"/>
      <c r="C118" s="49"/>
      <c r="D118" s="49"/>
      <c r="E118" s="49"/>
      <c r="F118" s="50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50"/>
      <c r="U118" s="49"/>
      <c r="V118" s="49"/>
      <c r="W118" s="49"/>
      <c r="X118" s="49"/>
    </row>
    <row r="119" ht="15.75" customHeight="1">
      <c r="A119" s="49"/>
      <c r="B119" s="49"/>
      <c r="C119" s="49"/>
      <c r="D119" s="49"/>
      <c r="E119" s="49"/>
      <c r="F119" s="50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50"/>
      <c r="U119" s="49"/>
      <c r="V119" s="49"/>
      <c r="W119" s="49"/>
      <c r="X119" s="49"/>
    </row>
    <row r="120" ht="15.75" customHeight="1">
      <c r="A120" s="49"/>
      <c r="B120" s="49"/>
      <c r="C120" s="49"/>
      <c r="D120" s="49"/>
      <c r="E120" s="49"/>
      <c r="F120" s="50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50"/>
      <c r="U120" s="49"/>
      <c r="V120" s="49"/>
      <c r="W120" s="49"/>
      <c r="X120" s="49"/>
    </row>
    <row r="121" ht="15.75" customHeight="1">
      <c r="A121" s="49"/>
      <c r="B121" s="49"/>
      <c r="C121" s="49"/>
      <c r="D121" s="49"/>
      <c r="E121" s="49"/>
      <c r="F121" s="50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50"/>
      <c r="U121" s="49"/>
      <c r="V121" s="49"/>
      <c r="W121" s="49"/>
      <c r="X121" s="49"/>
    </row>
    <row r="122" ht="15.75" customHeight="1">
      <c r="A122" s="49"/>
      <c r="B122" s="49"/>
      <c r="C122" s="49"/>
      <c r="D122" s="49"/>
      <c r="E122" s="49"/>
      <c r="F122" s="50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50"/>
      <c r="U122" s="49"/>
      <c r="V122" s="49"/>
      <c r="W122" s="49"/>
      <c r="X122" s="49"/>
    </row>
    <row r="123" ht="15.75" customHeight="1">
      <c r="A123" s="49"/>
      <c r="B123" s="49"/>
      <c r="C123" s="49"/>
      <c r="D123" s="49"/>
      <c r="E123" s="49"/>
      <c r="F123" s="50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50"/>
      <c r="U123" s="49"/>
      <c r="V123" s="49"/>
      <c r="W123" s="49"/>
      <c r="X123" s="49"/>
    </row>
    <row r="124" ht="15.75" customHeight="1">
      <c r="A124" s="49"/>
      <c r="B124" s="49"/>
      <c r="C124" s="49"/>
      <c r="D124" s="49"/>
      <c r="E124" s="49"/>
      <c r="F124" s="50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50"/>
      <c r="U124" s="49"/>
      <c r="V124" s="49"/>
      <c r="W124" s="49"/>
      <c r="X124" s="49"/>
    </row>
    <row r="125" ht="15.75" customHeight="1">
      <c r="A125" s="49"/>
      <c r="B125" s="49"/>
      <c r="C125" s="49"/>
      <c r="D125" s="49"/>
      <c r="E125" s="49"/>
      <c r="F125" s="50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50"/>
      <c r="U125" s="49"/>
      <c r="V125" s="49"/>
      <c r="W125" s="49"/>
      <c r="X125" s="49"/>
    </row>
    <row r="126" ht="15.75" customHeight="1">
      <c r="A126" s="49"/>
      <c r="B126" s="49"/>
      <c r="C126" s="49"/>
      <c r="D126" s="49"/>
      <c r="E126" s="49"/>
      <c r="F126" s="50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50"/>
      <c r="U126" s="49"/>
      <c r="V126" s="49"/>
      <c r="W126" s="49"/>
      <c r="X126" s="49"/>
    </row>
    <row r="127" ht="15.75" customHeight="1">
      <c r="A127" s="49"/>
      <c r="B127" s="49"/>
      <c r="C127" s="49"/>
      <c r="D127" s="49"/>
      <c r="E127" s="49"/>
      <c r="F127" s="50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50"/>
      <c r="U127" s="49"/>
      <c r="V127" s="49"/>
      <c r="W127" s="49"/>
      <c r="X127" s="49"/>
    </row>
    <row r="128" ht="15.75" customHeight="1">
      <c r="A128" s="49"/>
      <c r="B128" s="49"/>
      <c r="C128" s="49"/>
      <c r="D128" s="49"/>
      <c r="E128" s="49"/>
      <c r="F128" s="50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50"/>
      <c r="U128" s="49"/>
      <c r="V128" s="49"/>
      <c r="W128" s="49"/>
      <c r="X128" s="49"/>
    </row>
    <row r="129" ht="15.75" customHeight="1">
      <c r="A129" s="49"/>
      <c r="B129" s="49"/>
      <c r="C129" s="49"/>
      <c r="D129" s="49"/>
      <c r="E129" s="49"/>
      <c r="F129" s="50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50"/>
      <c r="U129" s="49"/>
      <c r="V129" s="49"/>
      <c r="W129" s="49"/>
      <c r="X129" s="49"/>
    </row>
    <row r="130" ht="15.75" customHeight="1">
      <c r="A130" s="49"/>
      <c r="B130" s="49"/>
      <c r="C130" s="49"/>
      <c r="D130" s="49"/>
      <c r="E130" s="49"/>
      <c r="F130" s="50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50"/>
      <c r="U130" s="49"/>
      <c r="V130" s="49"/>
      <c r="W130" s="49"/>
      <c r="X130" s="49"/>
    </row>
    <row r="131" ht="15.75" customHeight="1">
      <c r="A131" s="49"/>
      <c r="B131" s="49"/>
      <c r="C131" s="49"/>
      <c r="D131" s="49"/>
      <c r="E131" s="49"/>
      <c r="F131" s="50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50"/>
      <c r="U131" s="49"/>
      <c r="V131" s="49"/>
      <c r="W131" s="49"/>
      <c r="X131" s="49"/>
    </row>
    <row r="132" ht="15.75" customHeight="1">
      <c r="A132" s="49"/>
      <c r="B132" s="49"/>
      <c r="C132" s="49"/>
      <c r="D132" s="49"/>
      <c r="E132" s="49"/>
      <c r="F132" s="50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50"/>
      <c r="U132" s="49"/>
      <c r="V132" s="49"/>
      <c r="W132" s="49"/>
      <c r="X132" s="49"/>
    </row>
    <row r="133" ht="15.75" customHeight="1">
      <c r="A133" s="49"/>
      <c r="B133" s="49"/>
      <c r="C133" s="49"/>
      <c r="D133" s="49"/>
      <c r="E133" s="49"/>
      <c r="F133" s="50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50"/>
      <c r="U133" s="49"/>
      <c r="V133" s="49"/>
      <c r="W133" s="49"/>
      <c r="X133" s="49"/>
    </row>
    <row r="134" ht="15.75" customHeight="1">
      <c r="A134" s="49"/>
      <c r="B134" s="49"/>
      <c r="C134" s="49"/>
      <c r="D134" s="49"/>
      <c r="E134" s="49"/>
      <c r="F134" s="50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50"/>
      <c r="U134" s="49"/>
      <c r="V134" s="49"/>
      <c r="W134" s="49"/>
      <c r="X134" s="49"/>
    </row>
    <row r="135" ht="15.75" customHeight="1">
      <c r="A135" s="49"/>
      <c r="B135" s="49"/>
      <c r="C135" s="49"/>
      <c r="D135" s="49"/>
      <c r="E135" s="49"/>
      <c r="F135" s="50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50"/>
      <c r="U135" s="49"/>
      <c r="V135" s="49"/>
      <c r="W135" s="49"/>
      <c r="X135" s="49"/>
    </row>
    <row r="136" ht="15.75" customHeight="1">
      <c r="A136" s="49"/>
      <c r="B136" s="49"/>
      <c r="C136" s="49"/>
      <c r="D136" s="49"/>
      <c r="E136" s="49"/>
      <c r="F136" s="50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50"/>
      <c r="U136" s="49"/>
      <c r="V136" s="49"/>
      <c r="W136" s="49"/>
      <c r="X136" s="49"/>
    </row>
    <row r="137" ht="15.75" customHeight="1">
      <c r="A137" s="49"/>
      <c r="B137" s="49"/>
      <c r="C137" s="49"/>
      <c r="D137" s="49"/>
      <c r="E137" s="49"/>
      <c r="F137" s="50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50"/>
      <c r="U137" s="49"/>
      <c r="V137" s="49"/>
      <c r="W137" s="49"/>
      <c r="X137" s="49"/>
    </row>
    <row r="138" ht="15.75" customHeight="1">
      <c r="A138" s="49"/>
      <c r="B138" s="49"/>
      <c r="C138" s="49"/>
      <c r="D138" s="49"/>
      <c r="E138" s="49"/>
      <c r="F138" s="50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50"/>
      <c r="U138" s="49"/>
      <c r="V138" s="49"/>
      <c r="W138" s="49"/>
      <c r="X138" s="49"/>
    </row>
    <row r="139" ht="15.75" customHeight="1">
      <c r="A139" s="49"/>
      <c r="B139" s="49"/>
      <c r="C139" s="49"/>
      <c r="D139" s="49"/>
      <c r="E139" s="49"/>
      <c r="F139" s="50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50"/>
      <c r="U139" s="49"/>
      <c r="V139" s="49"/>
      <c r="W139" s="49"/>
      <c r="X139" s="49"/>
    </row>
    <row r="140" ht="15.75" customHeight="1">
      <c r="A140" s="49"/>
      <c r="B140" s="49"/>
      <c r="C140" s="49"/>
      <c r="D140" s="49"/>
      <c r="E140" s="49"/>
      <c r="F140" s="50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50"/>
      <c r="U140" s="49"/>
      <c r="V140" s="49"/>
      <c r="W140" s="49"/>
      <c r="X140" s="49"/>
    </row>
    <row r="141" ht="15.75" customHeight="1">
      <c r="A141" s="49"/>
      <c r="B141" s="49"/>
      <c r="C141" s="49"/>
      <c r="D141" s="49"/>
      <c r="E141" s="49"/>
      <c r="F141" s="50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50"/>
      <c r="U141" s="49"/>
      <c r="V141" s="49"/>
      <c r="W141" s="49"/>
      <c r="X141" s="49"/>
    </row>
    <row r="142" ht="15.75" customHeight="1">
      <c r="A142" s="49"/>
      <c r="B142" s="49"/>
      <c r="C142" s="49"/>
      <c r="D142" s="49"/>
      <c r="E142" s="49"/>
      <c r="F142" s="50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50"/>
      <c r="U142" s="49"/>
      <c r="V142" s="49"/>
      <c r="W142" s="49"/>
      <c r="X142" s="49"/>
    </row>
    <row r="143" ht="15.75" customHeight="1">
      <c r="A143" s="49"/>
      <c r="B143" s="49"/>
      <c r="C143" s="49"/>
      <c r="D143" s="49"/>
      <c r="E143" s="49"/>
      <c r="F143" s="50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50"/>
      <c r="U143" s="49"/>
      <c r="V143" s="49"/>
      <c r="W143" s="49"/>
      <c r="X143" s="49"/>
    </row>
    <row r="144" ht="15.75" customHeight="1">
      <c r="A144" s="49"/>
      <c r="B144" s="49"/>
      <c r="C144" s="49"/>
      <c r="D144" s="49"/>
      <c r="E144" s="49"/>
      <c r="F144" s="50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50"/>
      <c r="U144" s="49"/>
      <c r="V144" s="49"/>
      <c r="W144" s="49"/>
      <c r="X144" s="49"/>
    </row>
    <row r="145" ht="15.75" customHeight="1">
      <c r="A145" s="49"/>
      <c r="B145" s="49"/>
      <c r="C145" s="49"/>
      <c r="D145" s="49"/>
      <c r="E145" s="49"/>
      <c r="F145" s="50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50"/>
      <c r="U145" s="49"/>
      <c r="V145" s="49"/>
      <c r="W145" s="49"/>
      <c r="X145" s="49"/>
    </row>
    <row r="146" ht="15.75" customHeight="1">
      <c r="A146" s="49"/>
      <c r="B146" s="49"/>
      <c r="C146" s="49"/>
      <c r="D146" s="49"/>
      <c r="E146" s="49"/>
      <c r="F146" s="50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50"/>
      <c r="U146" s="49"/>
      <c r="V146" s="49"/>
      <c r="W146" s="49"/>
      <c r="X146" s="49"/>
    </row>
    <row r="147" ht="15.75" customHeight="1">
      <c r="A147" s="49"/>
      <c r="B147" s="49"/>
      <c r="C147" s="49"/>
      <c r="D147" s="49"/>
      <c r="E147" s="49"/>
      <c r="F147" s="50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50"/>
      <c r="U147" s="49"/>
      <c r="V147" s="49"/>
      <c r="W147" s="49"/>
      <c r="X147" s="49"/>
    </row>
    <row r="148" ht="15.75" customHeight="1">
      <c r="A148" s="49"/>
      <c r="B148" s="49"/>
      <c r="C148" s="49"/>
      <c r="D148" s="49"/>
      <c r="E148" s="49"/>
      <c r="F148" s="50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50"/>
      <c r="U148" s="49"/>
      <c r="V148" s="49"/>
      <c r="W148" s="49"/>
      <c r="X148" s="49"/>
    </row>
    <row r="149" ht="15.75" customHeight="1">
      <c r="A149" s="49"/>
      <c r="B149" s="49"/>
      <c r="C149" s="49"/>
      <c r="D149" s="49"/>
      <c r="E149" s="49"/>
      <c r="F149" s="50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50"/>
      <c r="U149" s="49"/>
      <c r="V149" s="49"/>
      <c r="W149" s="49"/>
      <c r="X149" s="49"/>
    </row>
    <row r="150" ht="15.75" customHeight="1">
      <c r="A150" s="49"/>
      <c r="B150" s="49"/>
      <c r="C150" s="49"/>
      <c r="D150" s="49"/>
      <c r="E150" s="49"/>
      <c r="F150" s="50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50"/>
      <c r="U150" s="49"/>
      <c r="V150" s="49"/>
      <c r="W150" s="49"/>
      <c r="X150" s="49"/>
    </row>
    <row r="151" ht="15.75" customHeight="1">
      <c r="A151" s="49"/>
      <c r="B151" s="49"/>
      <c r="C151" s="49"/>
      <c r="D151" s="49"/>
      <c r="E151" s="49"/>
      <c r="F151" s="50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50"/>
      <c r="U151" s="49"/>
      <c r="V151" s="49"/>
      <c r="W151" s="49"/>
      <c r="X151" s="49"/>
    </row>
    <row r="152" ht="15.75" customHeight="1">
      <c r="A152" s="49"/>
      <c r="B152" s="49"/>
      <c r="C152" s="49"/>
      <c r="D152" s="49"/>
      <c r="E152" s="49"/>
      <c r="F152" s="50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50"/>
      <c r="U152" s="49"/>
      <c r="V152" s="49"/>
      <c r="W152" s="49"/>
      <c r="X152" s="49"/>
    </row>
    <row r="153" ht="15.75" customHeight="1">
      <c r="A153" s="49"/>
      <c r="B153" s="49"/>
      <c r="C153" s="49"/>
      <c r="D153" s="49"/>
      <c r="E153" s="49"/>
      <c r="F153" s="50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50"/>
      <c r="U153" s="49"/>
      <c r="V153" s="49"/>
      <c r="W153" s="49"/>
      <c r="X153" s="49"/>
    </row>
    <row r="154" ht="15.75" customHeight="1">
      <c r="A154" s="49"/>
      <c r="B154" s="49"/>
      <c r="C154" s="49"/>
      <c r="D154" s="49"/>
      <c r="E154" s="49"/>
      <c r="F154" s="50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50"/>
      <c r="U154" s="49"/>
      <c r="V154" s="49"/>
      <c r="W154" s="49"/>
      <c r="X154" s="49"/>
    </row>
    <row r="155" ht="15.75" customHeight="1">
      <c r="A155" s="49"/>
      <c r="B155" s="49"/>
      <c r="C155" s="49"/>
      <c r="D155" s="49"/>
      <c r="E155" s="49"/>
      <c r="F155" s="50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50"/>
      <c r="U155" s="49"/>
      <c r="V155" s="49"/>
      <c r="W155" s="49"/>
      <c r="X155" s="49"/>
    </row>
    <row r="156" ht="15.75" customHeight="1">
      <c r="A156" s="49"/>
      <c r="B156" s="49"/>
      <c r="C156" s="49"/>
      <c r="D156" s="49"/>
      <c r="E156" s="49"/>
      <c r="F156" s="50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50"/>
      <c r="U156" s="49"/>
      <c r="V156" s="49"/>
      <c r="W156" s="49"/>
      <c r="X156" s="49"/>
    </row>
    <row r="157" ht="15.75" customHeight="1">
      <c r="A157" s="49"/>
      <c r="B157" s="49"/>
      <c r="C157" s="49"/>
      <c r="D157" s="49"/>
      <c r="E157" s="49"/>
      <c r="F157" s="50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50"/>
      <c r="U157" s="49"/>
      <c r="V157" s="49"/>
      <c r="W157" s="49"/>
      <c r="X157" s="49"/>
    </row>
    <row r="158" ht="15.75" customHeight="1">
      <c r="A158" s="49"/>
      <c r="B158" s="49"/>
      <c r="C158" s="49"/>
      <c r="D158" s="49"/>
      <c r="E158" s="49"/>
      <c r="F158" s="50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50"/>
      <c r="U158" s="49"/>
      <c r="V158" s="49"/>
      <c r="W158" s="49"/>
      <c r="X158" s="49"/>
    </row>
    <row r="159" ht="15.75" customHeight="1">
      <c r="A159" s="49"/>
      <c r="B159" s="49"/>
      <c r="C159" s="49"/>
      <c r="D159" s="49"/>
      <c r="E159" s="49"/>
      <c r="F159" s="50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50"/>
      <c r="U159" s="49"/>
      <c r="V159" s="49"/>
      <c r="W159" s="49"/>
      <c r="X159" s="49"/>
    </row>
    <row r="160" ht="15.75" customHeight="1">
      <c r="A160" s="49"/>
      <c r="B160" s="49"/>
      <c r="C160" s="49"/>
      <c r="D160" s="49"/>
      <c r="E160" s="49"/>
      <c r="F160" s="50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50"/>
      <c r="U160" s="49"/>
      <c r="V160" s="49"/>
      <c r="W160" s="49"/>
      <c r="X160" s="49"/>
    </row>
    <row r="161" ht="15.75" customHeight="1">
      <c r="A161" s="49"/>
      <c r="B161" s="49"/>
      <c r="C161" s="49"/>
      <c r="D161" s="49"/>
      <c r="E161" s="49"/>
      <c r="F161" s="50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50"/>
      <c r="U161" s="49"/>
      <c r="V161" s="49"/>
      <c r="W161" s="49"/>
      <c r="X161" s="49"/>
    </row>
    <row r="162" ht="15.75" customHeight="1">
      <c r="A162" s="49"/>
      <c r="B162" s="49"/>
      <c r="C162" s="49"/>
      <c r="D162" s="49"/>
      <c r="E162" s="49"/>
      <c r="F162" s="50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50"/>
      <c r="U162" s="49"/>
      <c r="V162" s="49"/>
      <c r="W162" s="49"/>
      <c r="X162" s="49"/>
    </row>
    <row r="163" ht="15.75" customHeight="1">
      <c r="A163" s="49"/>
      <c r="B163" s="49"/>
      <c r="C163" s="49"/>
      <c r="D163" s="49"/>
      <c r="E163" s="49"/>
      <c r="F163" s="50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50"/>
      <c r="U163" s="49"/>
      <c r="V163" s="49"/>
      <c r="W163" s="49"/>
      <c r="X163" s="49"/>
    </row>
    <row r="164" ht="15.75" customHeight="1">
      <c r="A164" s="49"/>
      <c r="B164" s="49"/>
      <c r="C164" s="49"/>
      <c r="D164" s="49"/>
      <c r="E164" s="49"/>
      <c r="F164" s="50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50"/>
      <c r="U164" s="49"/>
      <c r="V164" s="49"/>
      <c r="W164" s="49"/>
      <c r="X164" s="49"/>
    </row>
    <row r="165" ht="15.75" customHeight="1">
      <c r="A165" s="49"/>
      <c r="B165" s="49"/>
      <c r="C165" s="49"/>
      <c r="D165" s="49"/>
      <c r="E165" s="49"/>
      <c r="F165" s="50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50"/>
      <c r="U165" s="49"/>
      <c r="V165" s="49"/>
      <c r="W165" s="49"/>
      <c r="X165" s="49"/>
    </row>
    <row r="166" ht="15.75" customHeight="1">
      <c r="A166" s="49"/>
      <c r="B166" s="49"/>
      <c r="C166" s="49"/>
      <c r="D166" s="49"/>
      <c r="E166" s="49"/>
      <c r="F166" s="50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50"/>
      <c r="U166" s="49"/>
      <c r="V166" s="49"/>
      <c r="W166" s="49"/>
      <c r="X166" s="49"/>
    </row>
    <row r="167" ht="15.75" customHeight="1">
      <c r="A167" s="49"/>
      <c r="B167" s="49"/>
      <c r="C167" s="49"/>
      <c r="D167" s="49"/>
      <c r="E167" s="49"/>
      <c r="F167" s="50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50"/>
      <c r="U167" s="49"/>
      <c r="V167" s="49"/>
      <c r="W167" s="49"/>
      <c r="X167" s="49"/>
    </row>
    <row r="168" ht="15.75" customHeight="1">
      <c r="A168" s="49"/>
      <c r="B168" s="49"/>
      <c r="C168" s="49"/>
      <c r="D168" s="49"/>
      <c r="E168" s="49"/>
      <c r="F168" s="50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50"/>
      <c r="U168" s="49"/>
      <c r="V168" s="49"/>
      <c r="W168" s="49"/>
      <c r="X168" s="49"/>
    </row>
    <row r="169" ht="15.75" customHeight="1">
      <c r="A169" s="49"/>
      <c r="B169" s="49"/>
      <c r="C169" s="49"/>
      <c r="D169" s="49"/>
      <c r="E169" s="49"/>
      <c r="F169" s="50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50"/>
      <c r="U169" s="49"/>
      <c r="V169" s="49"/>
      <c r="W169" s="49"/>
      <c r="X169" s="49"/>
    </row>
    <row r="170" ht="15.75" customHeight="1">
      <c r="A170" s="49"/>
      <c r="B170" s="49"/>
      <c r="C170" s="49"/>
      <c r="D170" s="49"/>
      <c r="E170" s="49"/>
      <c r="F170" s="50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50"/>
      <c r="U170" s="49"/>
      <c r="V170" s="49"/>
      <c r="W170" s="49"/>
      <c r="X170" s="49"/>
    </row>
    <row r="171" ht="15.75" customHeight="1">
      <c r="A171" s="49"/>
      <c r="B171" s="49"/>
      <c r="C171" s="49"/>
      <c r="D171" s="49"/>
      <c r="E171" s="49"/>
      <c r="F171" s="50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50"/>
      <c r="U171" s="49"/>
      <c r="V171" s="49"/>
      <c r="W171" s="49"/>
      <c r="X171" s="49"/>
    </row>
    <row r="172" ht="15.75" customHeight="1">
      <c r="A172" s="49"/>
      <c r="B172" s="49"/>
      <c r="C172" s="49"/>
      <c r="D172" s="49"/>
      <c r="E172" s="49"/>
      <c r="F172" s="50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50"/>
      <c r="U172" s="49"/>
      <c r="V172" s="49"/>
      <c r="W172" s="49"/>
      <c r="X172" s="49"/>
    </row>
    <row r="173" ht="15.75" customHeight="1">
      <c r="A173" s="49"/>
      <c r="B173" s="49"/>
      <c r="C173" s="49"/>
      <c r="D173" s="49"/>
      <c r="E173" s="49"/>
      <c r="F173" s="50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50"/>
      <c r="U173" s="49"/>
      <c r="V173" s="49"/>
      <c r="W173" s="49"/>
      <c r="X173" s="49"/>
    </row>
    <row r="174" ht="15.75" customHeight="1">
      <c r="A174" s="49"/>
      <c r="B174" s="49"/>
      <c r="C174" s="49"/>
      <c r="D174" s="49"/>
      <c r="E174" s="49"/>
      <c r="F174" s="50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50"/>
      <c r="U174" s="49"/>
      <c r="V174" s="49"/>
      <c r="W174" s="49"/>
      <c r="X174" s="49"/>
    </row>
    <row r="175" ht="15.75" customHeight="1">
      <c r="A175" s="49"/>
      <c r="B175" s="49"/>
      <c r="C175" s="49"/>
      <c r="D175" s="49"/>
      <c r="E175" s="49"/>
      <c r="F175" s="50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50"/>
      <c r="U175" s="49"/>
      <c r="V175" s="49"/>
      <c r="W175" s="49"/>
      <c r="X175" s="49"/>
    </row>
    <row r="176" ht="15.75" customHeight="1">
      <c r="A176" s="49"/>
      <c r="B176" s="49"/>
      <c r="C176" s="49"/>
      <c r="D176" s="49"/>
      <c r="E176" s="49"/>
      <c r="F176" s="50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50"/>
      <c r="U176" s="49"/>
      <c r="V176" s="49"/>
      <c r="W176" s="49"/>
      <c r="X176" s="49"/>
    </row>
    <row r="177" ht="15.75" customHeight="1">
      <c r="A177" s="49"/>
      <c r="B177" s="49"/>
      <c r="C177" s="49"/>
      <c r="D177" s="49"/>
      <c r="E177" s="49"/>
      <c r="F177" s="50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50"/>
      <c r="U177" s="49"/>
      <c r="V177" s="49"/>
      <c r="W177" s="49"/>
      <c r="X177" s="49"/>
    </row>
    <row r="178" ht="15.75" customHeight="1">
      <c r="A178" s="49"/>
      <c r="B178" s="49"/>
      <c r="C178" s="49"/>
      <c r="D178" s="49"/>
      <c r="E178" s="49"/>
      <c r="F178" s="50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50"/>
      <c r="U178" s="49"/>
      <c r="V178" s="49"/>
      <c r="W178" s="49"/>
      <c r="X178" s="49"/>
    </row>
    <row r="179" ht="15.75" customHeight="1">
      <c r="A179" s="49"/>
      <c r="B179" s="49"/>
      <c r="C179" s="49"/>
      <c r="D179" s="49"/>
      <c r="E179" s="49"/>
      <c r="F179" s="50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50"/>
      <c r="U179" s="49"/>
      <c r="V179" s="49"/>
      <c r="W179" s="49"/>
      <c r="X179" s="49"/>
    </row>
    <row r="180" ht="15.75" customHeight="1">
      <c r="A180" s="49"/>
      <c r="B180" s="49"/>
      <c r="C180" s="49"/>
      <c r="D180" s="49"/>
      <c r="E180" s="49"/>
      <c r="F180" s="50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50"/>
      <c r="U180" s="49"/>
      <c r="V180" s="49"/>
      <c r="W180" s="49"/>
      <c r="X180" s="49"/>
    </row>
    <row r="181" ht="15.75" customHeight="1">
      <c r="A181" s="49"/>
      <c r="B181" s="49"/>
      <c r="C181" s="49"/>
      <c r="D181" s="49"/>
      <c r="E181" s="49"/>
      <c r="F181" s="50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50"/>
      <c r="U181" s="49"/>
      <c r="V181" s="49"/>
      <c r="W181" s="49"/>
      <c r="X181" s="49"/>
    </row>
    <row r="182" ht="15.75" customHeight="1">
      <c r="A182" s="49"/>
      <c r="B182" s="49"/>
      <c r="C182" s="49"/>
      <c r="D182" s="49"/>
      <c r="E182" s="49"/>
      <c r="F182" s="50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50"/>
      <c r="U182" s="49"/>
      <c r="V182" s="49"/>
      <c r="W182" s="49"/>
      <c r="X182" s="49"/>
    </row>
    <row r="183" ht="15.75" customHeight="1">
      <c r="A183" s="49"/>
      <c r="B183" s="49"/>
      <c r="C183" s="49"/>
      <c r="D183" s="49"/>
      <c r="E183" s="49"/>
      <c r="F183" s="50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50"/>
      <c r="U183" s="49"/>
      <c r="V183" s="49"/>
      <c r="W183" s="49"/>
      <c r="X183" s="49"/>
    </row>
    <row r="184" ht="15.75" customHeight="1">
      <c r="A184" s="49"/>
      <c r="B184" s="49"/>
      <c r="C184" s="49"/>
      <c r="D184" s="49"/>
      <c r="E184" s="49"/>
      <c r="F184" s="50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50"/>
      <c r="U184" s="49"/>
      <c r="V184" s="49"/>
      <c r="W184" s="49"/>
      <c r="X184" s="49"/>
    </row>
    <row r="185" ht="15.75" customHeight="1">
      <c r="A185" s="49"/>
      <c r="B185" s="49"/>
      <c r="C185" s="49"/>
      <c r="D185" s="49"/>
      <c r="E185" s="49"/>
      <c r="F185" s="50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50"/>
      <c r="U185" s="49"/>
      <c r="V185" s="49"/>
      <c r="W185" s="49"/>
      <c r="X185" s="49"/>
    </row>
    <row r="186" ht="15.75" customHeight="1">
      <c r="A186" s="49"/>
      <c r="B186" s="49"/>
      <c r="C186" s="49"/>
      <c r="D186" s="49"/>
      <c r="E186" s="49"/>
      <c r="F186" s="50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50"/>
      <c r="U186" s="49"/>
      <c r="V186" s="49"/>
      <c r="W186" s="49"/>
      <c r="X186" s="49"/>
    </row>
    <row r="187" ht="15.75" customHeight="1">
      <c r="A187" s="49"/>
      <c r="B187" s="49"/>
      <c r="C187" s="49"/>
      <c r="D187" s="49"/>
      <c r="E187" s="49"/>
      <c r="F187" s="50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50"/>
      <c r="U187" s="49"/>
      <c r="V187" s="49"/>
      <c r="W187" s="49"/>
      <c r="X187" s="49"/>
    </row>
    <row r="188" ht="15.75" customHeight="1">
      <c r="A188" s="49"/>
      <c r="B188" s="49"/>
      <c r="C188" s="49"/>
      <c r="D188" s="49"/>
      <c r="E188" s="49"/>
      <c r="F188" s="50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50"/>
      <c r="U188" s="49"/>
      <c r="V188" s="49"/>
      <c r="W188" s="49"/>
      <c r="X188" s="49"/>
    </row>
    <row r="189" ht="15.75" customHeight="1">
      <c r="A189" s="49"/>
      <c r="B189" s="49"/>
      <c r="C189" s="49"/>
      <c r="D189" s="49"/>
      <c r="E189" s="49"/>
      <c r="F189" s="50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50"/>
      <c r="U189" s="49"/>
      <c r="V189" s="49"/>
      <c r="W189" s="49"/>
      <c r="X189" s="49"/>
    </row>
    <row r="190" ht="15.75" customHeight="1">
      <c r="A190" s="49"/>
      <c r="B190" s="49"/>
      <c r="C190" s="49"/>
      <c r="D190" s="49"/>
      <c r="E190" s="49"/>
      <c r="F190" s="50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50"/>
      <c r="U190" s="49"/>
      <c r="V190" s="49"/>
      <c r="W190" s="49"/>
      <c r="X190" s="49"/>
    </row>
    <row r="191" ht="15.75" customHeight="1">
      <c r="A191" s="49"/>
      <c r="B191" s="49"/>
      <c r="C191" s="49"/>
      <c r="D191" s="49"/>
      <c r="E191" s="49"/>
      <c r="F191" s="50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50"/>
      <c r="U191" s="49"/>
      <c r="V191" s="49"/>
      <c r="W191" s="49"/>
      <c r="X191" s="49"/>
    </row>
    <row r="192" ht="15.75" customHeight="1">
      <c r="A192" s="49"/>
      <c r="B192" s="49"/>
      <c r="C192" s="49"/>
      <c r="D192" s="49"/>
      <c r="E192" s="49"/>
      <c r="F192" s="50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50"/>
      <c r="U192" s="49"/>
      <c r="V192" s="49"/>
      <c r="W192" s="49"/>
      <c r="X192" s="49"/>
    </row>
    <row r="193" ht="15.75" customHeight="1">
      <c r="A193" s="49"/>
      <c r="B193" s="49"/>
      <c r="C193" s="49"/>
      <c r="D193" s="49"/>
      <c r="E193" s="49"/>
      <c r="F193" s="50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50"/>
      <c r="U193" s="49"/>
      <c r="V193" s="49"/>
      <c r="W193" s="49"/>
      <c r="X193" s="49"/>
    </row>
    <row r="194" ht="15.75" customHeight="1">
      <c r="A194" s="49"/>
      <c r="B194" s="49"/>
      <c r="C194" s="49"/>
      <c r="D194" s="49"/>
      <c r="E194" s="49"/>
      <c r="F194" s="50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50"/>
      <c r="U194" s="49"/>
      <c r="V194" s="49"/>
      <c r="W194" s="49"/>
      <c r="X194" s="49"/>
    </row>
    <row r="195" ht="15.75" customHeight="1">
      <c r="A195" s="49"/>
      <c r="B195" s="49"/>
      <c r="C195" s="49"/>
      <c r="D195" s="49"/>
      <c r="E195" s="49"/>
      <c r="F195" s="50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50"/>
      <c r="U195" s="49"/>
      <c r="V195" s="49"/>
      <c r="W195" s="49"/>
      <c r="X195" s="49"/>
    </row>
    <row r="196" ht="15.75" customHeight="1">
      <c r="A196" s="49"/>
      <c r="B196" s="49"/>
      <c r="C196" s="49"/>
      <c r="D196" s="49"/>
      <c r="E196" s="49"/>
      <c r="F196" s="50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50"/>
      <c r="U196" s="49"/>
      <c r="V196" s="49"/>
      <c r="W196" s="49"/>
      <c r="X196" s="49"/>
    </row>
    <row r="197" ht="15.75" customHeight="1">
      <c r="A197" s="49"/>
      <c r="B197" s="49"/>
      <c r="C197" s="49"/>
      <c r="D197" s="49"/>
      <c r="E197" s="49"/>
      <c r="F197" s="50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50"/>
      <c r="U197" s="49"/>
      <c r="V197" s="49"/>
      <c r="W197" s="49"/>
      <c r="X197" s="49"/>
    </row>
    <row r="198" ht="15.75" customHeight="1">
      <c r="A198" s="49"/>
      <c r="B198" s="49"/>
      <c r="C198" s="49"/>
      <c r="D198" s="49"/>
      <c r="E198" s="49"/>
      <c r="F198" s="50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50"/>
      <c r="U198" s="49"/>
      <c r="V198" s="49"/>
      <c r="W198" s="49"/>
      <c r="X198" s="49"/>
    </row>
    <row r="199" ht="15.75" customHeight="1">
      <c r="A199" s="49"/>
      <c r="B199" s="49"/>
      <c r="C199" s="49"/>
      <c r="D199" s="49"/>
      <c r="E199" s="49"/>
      <c r="F199" s="50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50"/>
      <c r="U199" s="49"/>
      <c r="V199" s="49"/>
      <c r="W199" s="49"/>
      <c r="X199" s="49"/>
    </row>
    <row r="200" ht="15.75" customHeight="1">
      <c r="A200" s="49"/>
      <c r="B200" s="49"/>
      <c r="C200" s="49"/>
      <c r="D200" s="49"/>
      <c r="E200" s="49"/>
      <c r="F200" s="50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50"/>
      <c r="U200" s="49"/>
      <c r="V200" s="49"/>
      <c r="W200" s="49"/>
      <c r="X200" s="49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T2"/>
    <mergeCell ref="A3:T3"/>
  </mergeCells>
  <conditionalFormatting sqref="D6:D200">
    <cfRule type="containsText" dxfId="5" priority="1" operator="containsText" text="Complete">
      <formula>NOT(ISERROR(SEARCH(("Complete"),(D6))))</formula>
    </cfRule>
  </conditionalFormatting>
  <conditionalFormatting sqref="D6:D200">
    <cfRule type="containsText" dxfId="6" priority="2" operator="containsText" text="In Progress">
      <formula>NOT(ISERROR(SEARCH(("In Progress"),(D6))))</formula>
    </cfRule>
  </conditionalFormatting>
  <conditionalFormatting sqref="D6:D200">
    <cfRule type="containsText" dxfId="7" priority="3" operator="containsText" text="Blocked">
      <formula>NOT(ISERROR(SEARCH(("Blocked"),(D6))))</formula>
    </cfRule>
  </conditionalFormatting>
  <dataValidations>
    <dataValidation type="list" allowBlank="1" showErrorMessage="1" sqref="E6:E10">
      <formula1>"High,Medium,Low"</formula1>
    </dataValidation>
    <dataValidation type="list" allowBlank="1" showErrorMessage="1" sqref="D6:D10">
      <formula1>"Not Started,In Progress,Complete,Blocked"</formula1>
    </dataValidation>
    <dataValidation type="list" allowBlank="1" sqref="D11:D200">
      <formula1>"Not Started,In Progress,Complete,Blocked"</formula1>
    </dataValidation>
    <dataValidation type="custom" allowBlank="1" showDropDown="1" sqref="F6:F10 T6:T10">
      <formula1>OR(NOT(ISERROR(DATEVALUE(F6))), AND(ISNUMBER(F6), LEFT(CELL("format", F6))="D"))</formula1>
    </dataValidation>
    <dataValidation type="list" allowBlank="1" sqref="Q11:Q200">
      <formula1>"IAM,CSOC,IAM &amp; CSOC,Other,TBD"</formula1>
    </dataValidation>
    <dataValidation type="list" allowBlank="1" sqref="E11:E200">
      <formula1>"High,Medium,Low"</formula1>
    </dataValidation>
    <dataValidation allowBlank="1" showDropDown="1" sqref="A6:C10 G6:P10 R6:S10 U6:X10"/>
    <dataValidation type="list" allowBlank="1" showErrorMessage="1" sqref="Q6:Q10">
      <formula1>"IAM,CSOC,IAM &amp; CSOC,Other,TBD"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